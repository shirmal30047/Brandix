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DATA-JeevithaT\Current-Profile\Desktop\RPA\Po creation\"/>
    </mc:Choice>
  </mc:AlternateContent>
  <bookViews>
    <workbookView xWindow="0" yWindow="0" windowWidth="20490" windowHeight="7755" tabRatio="589" firstSheet="1" activeTab="2"/>
  </bookViews>
  <sheets>
    <sheet name="Data Tables" sheetId="5" state="hidden" r:id="rId1"/>
    <sheet name="CO" sheetId="3" r:id="rId2"/>
    <sheet name="BOM" sheetId="1" r:id="rId3"/>
    <sheet name="OPS TO TRACK" sheetId="2" r:id="rId4"/>
    <sheet name="Guide_Lines " sheetId="4" r:id="rId5"/>
  </sheets>
  <externalReferences>
    <externalReference r:id="rId6"/>
    <externalReference r:id="rId7"/>
    <externalReference r:id="rId8"/>
    <externalReference r:id="rId9"/>
    <externalReference r:id="rId10"/>
    <externalReference r:id="rId11"/>
    <externalReference r:id="rId12"/>
    <externalReference r:id="rId13"/>
  </externalReferences>
  <definedNames>
    <definedName name="_xlnm._FilterDatabase" localSheetId="2" hidden="1">BOM!$A$13:$XEW$112</definedName>
    <definedName name="_xlnm._FilterDatabase" localSheetId="1" hidden="1">CO!$A$11:$V$19</definedName>
    <definedName name="_xlnm._FilterDatabase" localSheetId="0" hidden="1">'Data Tables'!$AU$1:$AU$94</definedName>
    <definedName name="ASE" localSheetId="0">'Data Tables'!$P$5</definedName>
    <definedName name="ASE">#REF!</definedName>
    <definedName name="Buy" localSheetId="0">'Data Tables'!$AB$2:$AB$7</definedName>
    <definedName name="Buy" localSheetId="3">'[1]Data Tables'!$AB$2:$AB$7</definedName>
    <definedName name="Buy">#REF!</definedName>
    <definedName name="Buyer" localSheetId="0">'Data Tables'!$Y$2:$Y$42</definedName>
    <definedName name="Buyer">#REF!</definedName>
    <definedName name="Buyer_Division" localSheetId="0">'Data Tables'!$Z$2:$Z$42</definedName>
    <definedName name="Buyer_Division" localSheetId="3">'[1]Data Tables'!$Z$2:$Z$42</definedName>
    <definedName name="Buyer_Division">#REF!</definedName>
    <definedName name="ed">'[2]Data Tables'!$E$3:$E$26</definedName>
    <definedName name="FabHierarchy" localSheetId="0">'Data Tables'!$AF$1+'Data Tables'!$AF$1:$AF$43</definedName>
    <definedName name="Fabric_Composition">'Data Tables'!$AJ$2:$AJ$1509</definedName>
    <definedName name="FabricHierarchy" localSheetId="0">'Data Tables'!$AF$2:$AF$43</definedName>
    <definedName name="han" localSheetId="2">#REF!</definedName>
    <definedName name="han" localSheetId="0">'Data Tables'!#REF!</definedName>
    <definedName name="han" localSheetId="3">'[1]Data Tables'!#REF!</definedName>
    <definedName name="han">#REF!</definedName>
    <definedName name="hand" localSheetId="0">'Data Tables'!$W$3:$W$4</definedName>
    <definedName name="hand">#REF!</definedName>
    <definedName name="hen" localSheetId="2">#REF!</definedName>
    <definedName name="hen" localSheetId="0">'Data Tables'!#REF!</definedName>
    <definedName name="hen" localSheetId="3">'[1]Data Tables'!#REF!</definedName>
    <definedName name="hen">#REF!</definedName>
    <definedName name="hend" localSheetId="0">'Data Tables'!$S$2:$S$21</definedName>
    <definedName name="hend">#REF!</definedName>
    <definedName name="Hierarchy" localSheetId="2">#REF!</definedName>
    <definedName name="Hierarchy" localSheetId="0">'Data Tables'!$AF$2:$AF$43</definedName>
    <definedName name="Hierarchy" localSheetId="3">'[1]Data Tables'!$AF$2:$AF$43</definedName>
    <definedName name="Hierarchy">#REF!</definedName>
    <definedName name="HIERARCHY_LEVEL" localSheetId="2">#REF!</definedName>
    <definedName name="HIERARCHY_LEVEL" localSheetId="0">'Data Tables'!$AF$2:$AF$43</definedName>
    <definedName name="Hierarchy1">'Data Tables'!$AF$2:$AF$43</definedName>
    <definedName name="leadfty" localSheetId="0">'Data Tables'!$K$3:$K$4</definedName>
    <definedName name="leadfty" localSheetId="3">'[1]Data Tables'!$K$3:$K$4</definedName>
    <definedName name="leadfty">#REF!</definedName>
    <definedName name="mar" localSheetId="2">#REF!</definedName>
    <definedName name="mar" localSheetId="0">'Data Tables'!#REF!</definedName>
    <definedName name="mar" localSheetId="3">'[1]Data Tables'!#REF!</definedName>
    <definedName name="mar">#REF!</definedName>
    <definedName name="mard" localSheetId="0">'Data Tables'!$R$3:$R$4</definedName>
    <definedName name="mard">#REF!</definedName>
    <definedName name="mas" localSheetId="2">#REF!</definedName>
    <definedName name="mas" localSheetId="0">'Data Tables'!#REF!</definedName>
    <definedName name="mas" localSheetId="3">'[1]Data Tables'!#REF!</definedName>
    <definedName name="mas">#REF!</definedName>
    <definedName name="masd" localSheetId="0">'Data Tables'!$V$3:$V$4</definedName>
    <definedName name="masd">#REF!</definedName>
    <definedName name="Merchant" localSheetId="0">'Data Tables'!$A$3:$A$34</definedName>
    <definedName name="Merchant" localSheetId="3">'[1]Data Tables'!$A$3:$A$34</definedName>
    <definedName name="Merchant">#REF!</definedName>
    <definedName name="mode" localSheetId="0">'Data Tables'!$P$3:$P$12</definedName>
    <definedName name="mode" localSheetId="3">'[1]Data Tables'!$P$3:$P$12</definedName>
    <definedName name="mode">#REF!</definedName>
    <definedName name="N">'[3]Data Tables'!$E$3:$E$23</definedName>
    <definedName name="PACKING_METHOD" localSheetId="0">'Data Tables'!$AD$2:$AD$24</definedName>
    <definedName name="PACKING_METHOD" localSheetId="3">'[1]Data Tables'!$AD$2:$AD$24</definedName>
    <definedName name="PACKING_METHOD">#REF!</definedName>
    <definedName name="packingmethod" localSheetId="0">'Data Tables'!$N$3:$N$26</definedName>
    <definedName name="packingmethod" localSheetId="3">'[1]Data Tables'!$N$3:$N$26</definedName>
    <definedName name="packingmethod">#REF!</definedName>
    <definedName name="payer" localSheetId="2">#REF!</definedName>
    <definedName name="payer" localSheetId="0">'Data Tables'!#REF!</definedName>
    <definedName name="payer" localSheetId="3">'[1]Data Tables'!#REF!</definedName>
    <definedName name="payer">#REF!</definedName>
    <definedName name="Planner_List" localSheetId="2">#REF!</definedName>
    <definedName name="Planner_List" localSheetId="0">'Data Tables'!$D$3:$D$14</definedName>
    <definedName name="Planner_List" localSheetId="3">[1]!Table4[Planner List]</definedName>
    <definedName name="Planner_List">#REF!</definedName>
    <definedName name="Production_Warehouse" localSheetId="0">[4]Operations!$I$2:$I$10</definedName>
    <definedName name="Production_Warehouse" localSheetId="3">[1]Operations!$I$2:$I$10</definedName>
    <definedName name="Production_Warehouse">#REF!</definedName>
    <definedName name="Sourcing_List" localSheetId="0">'Data Tables'!$E$3:$E$23</definedName>
    <definedName name="Sourcing_List" localSheetId="3">'[1]Data Tables'!$E$3:$E$23</definedName>
    <definedName name="Sourcing_List">#REF!</definedName>
    <definedName name="uom" localSheetId="0">'Data Tables'!$I$3:$I$26</definedName>
    <definedName name="uom" localSheetId="3">'[1]Data Tables'!$I$3:$I$26</definedName>
    <definedName name="uom">#REF!</definedName>
    <definedName name="UserID" localSheetId="0">'Data Tables'!$C$3:$C$23</definedName>
    <definedName name="UserID">#REF!</definedName>
    <definedName name="UserName" localSheetId="0">'Data Tables'!$B$3:$B$23</definedName>
    <definedName name="UserName">#REF!</definedName>
    <definedName name="vsd" localSheetId="2">#REF!</definedName>
    <definedName name="vsd" localSheetId="0">'Data Tables'!#REF!</definedName>
    <definedName name="vsd" localSheetId="3">'[1]Data Tables'!#REF!</definedName>
    <definedName name="vsd">#REF!</definedName>
    <definedName name="vsdd" localSheetId="0">'Data Tables'!$U$3:$U$4</definedName>
    <definedName name="vsdd">#REF!</definedName>
    <definedName name="vss" localSheetId="2">#REF!</definedName>
    <definedName name="vss" localSheetId="0">'Data Tables'!#REF!</definedName>
    <definedName name="vss" localSheetId="3">'[1]Data Tables'!#REF!</definedName>
    <definedName name="vss">#REF!</definedName>
    <definedName name="vssd" localSheetId="0">'Data Tables'!$T$3:$T$5</definedName>
    <definedName name="vssd">#REF!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13" i="1" l="1"/>
  <c r="J25" i="1"/>
  <c r="J26" i="1"/>
  <c r="J27" i="1"/>
  <c r="J24" i="1"/>
  <c r="O20" i="3"/>
  <c r="P20" i="3"/>
  <c r="Q20" i="3"/>
  <c r="N20" i="3"/>
  <c r="T19" i="3" l="1"/>
  <c r="T18" i="3"/>
  <c r="T17" i="3"/>
  <c r="T16" i="3"/>
  <c r="T15" i="3"/>
  <c r="T14" i="3"/>
  <c r="T12" i="3" l="1"/>
  <c r="T13" i="3" l="1"/>
  <c r="AF43" i="5"/>
  <c r="AF42" i="5"/>
  <c r="AF41" i="5"/>
  <c r="AF40" i="5"/>
  <c r="AF39" i="5"/>
  <c r="AF38" i="5"/>
  <c r="AF37" i="5"/>
  <c r="AF36" i="5"/>
  <c r="AF35" i="5"/>
  <c r="AF34" i="5"/>
  <c r="AF33" i="5"/>
  <c r="AF32" i="5"/>
  <c r="AF31" i="5"/>
  <c r="AF30" i="5"/>
  <c r="AF29" i="5"/>
  <c r="AF28" i="5"/>
  <c r="AF27" i="5"/>
  <c r="AF26" i="5"/>
  <c r="AF25" i="5"/>
  <c r="AF24" i="5"/>
  <c r="AF23" i="5"/>
  <c r="AF22" i="5"/>
  <c r="AF21" i="5"/>
  <c r="AF20" i="5"/>
  <c r="AF19" i="5"/>
  <c r="AF18" i="5"/>
  <c r="AF17" i="5"/>
  <c r="AF16" i="5"/>
  <c r="AF15" i="5"/>
  <c r="AF14" i="5"/>
  <c r="AF13" i="5"/>
  <c r="AF12" i="5"/>
  <c r="AF11" i="5"/>
  <c r="AF10" i="5"/>
  <c r="AF9" i="5"/>
  <c r="AF8" i="5"/>
  <c r="AF7" i="5"/>
  <c r="AF6" i="5"/>
  <c r="AF5" i="5"/>
  <c r="AF4" i="5"/>
  <c r="AF3" i="5"/>
  <c r="AF2" i="5"/>
</calcChain>
</file>

<file path=xl/sharedStrings.xml><?xml version="1.0" encoding="utf-8"?>
<sst xmlns="http://schemas.openxmlformats.org/spreadsheetml/2006/main" count="6646" uniqueCount="4634">
  <si>
    <t>STYLE NUMBER
(Max character limit = 8)</t>
  </si>
  <si>
    <t>STYLE CATEGORIZATION</t>
  </si>
  <si>
    <t>GARMENT ITEM DESCRIPTION</t>
  </si>
  <si>
    <t>UOM</t>
  </si>
  <si>
    <t>PCS</t>
  </si>
  <si>
    <t>LEAD FACTORY</t>
  </si>
  <si>
    <t>BUYER</t>
  </si>
  <si>
    <t>BUYER DIVISION</t>
  </si>
  <si>
    <t>SEASON</t>
  </si>
  <si>
    <t>MERCHANDISER</t>
  </si>
  <si>
    <t>PLANNER</t>
  </si>
  <si>
    <t>GARMENT FABRIC COMPOSITION</t>
  </si>
  <si>
    <t>MAIN CATEGORY (PRODUCT GROUP)</t>
  </si>
  <si>
    <t>RM PROCUREMENT GROUP</t>
  </si>
  <si>
    <t>Item Name (Shortened Description within 30 digits) Please give a Recognisable Name for the Material</t>
  </si>
  <si>
    <t>ITEM DESCRIPTION
(Max character limit = 60)</t>
  </si>
  <si>
    <t>ITEM CATEGORIZATION</t>
  </si>
  <si>
    <t>GARMENT Z FTR</t>
  </si>
  <si>
    <t>GARMENT CLR</t>
  </si>
  <si>
    <t>GARMENT SIZE</t>
  </si>
  <si>
    <t>RM Z FTR</t>
  </si>
  <si>
    <t>RM CLR</t>
  </si>
  <si>
    <t>RM SIZE</t>
  </si>
  <si>
    <t>YY (Max character limit = 6 decimal places)</t>
  </si>
  <si>
    <t>WASTAGE %</t>
  </si>
  <si>
    <t>SKU UOM</t>
  </si>
  <si>
    <t>PURCHASE UOM</t>
  </si>
  <si>
    <t>CONVERSION</t>
  </si>
  <si>
    <t>HIERARCHY ID</t>
  </si>
  <si>
    <t>FREIGHT
(Max character limit = 4 decimal places)</t>
  </si>
  <si>
    <t xml:space="preserve">TC
(Max character limit = 4 decimal places) </t>
  </si>
  <si>
    <t>MOQ</t>
  </si>
  <si>
    <t>ORDER MULTIPLE</t>
  </si>
  <si>
    <t>Item Horizon for Demand Consolidation</t>
  </si>
  <si>
    <t>SUPP TOL %</t>
  </si>
  <si>
    <t>SUPPLIER</t>
  </si>
  <si>
    <t>MANUFACTURING LEAD TIME (DAYS)</t>
  </si>
  <si>
    <t>MODE OF SHIPMENT</t>
  </si>
  <si>
    <t>DELIVERY TERMS</t>
  </si>
  <si>
    <t>BUYER 
(SOURCING MERCHANT)</t>
  </si>
  <si>
    <t>EFFICIENCY</t>
  </si>
  <si>
    <t>Garment Colour1</t>
  </si>
  <si>
    <t>Garment Colour2</t>
  </si>
  <si>
    <t>Garment Colour3</t>
  </si>
  <si>
    <t>Garment Colour4</t>
  </si>
  <si>
    <t>Garment Colour5</t>
  </si>
  <si>
    <t>Garment Colour6</t>
  </si>
  <si>
    <r>
      <rPr>
        <b/>
        <sz val="8"/>
        <color theme="1"/>
        <rFont val="Calibri"/>
        <family val="2"/>
        <scheme val="minor"/>
      </rPr>
      <t>SMV</t>
    </r>
    <r>
      <rPr>
        <sz val="8"/>
        <color theme="1"/>
        <rFont val="Calibri"/>
        <family val="2"/>
        <scheme val="minor"/>
      </rPr>
      <t xml:space="preserve">
(Max character limit = 3 decimal places)</t>
    </r>
  </si>
  <si>
    <t>EMBELLISHMENT TYPE</t>
  </si>
  <si>
    <t>STAGE</t>
  </si>
  <si>
    <t>PRINTING</t>
  </si>
  <si>
    <t>PANEL FORM</t>
  </si>
  <si>
    <t>EMBROIDERY</t>
  </si>
  <si>
    <t>GARMENT FORM</t>
  </si>
  <si>
    <t>STYLE NUMBER</t>
  </si>
  <si>
    <t>PROD FAC</t>
  </si>
  <si>
    <t>DESTINATION</t>
  </si>
  <si>
    <t>EX FAC DATE ASP CUST CO</t>
  </si>
  <si>
    <t>EX FAC DATE ASP PLAN</t>
  </si>
  <si>
    <t>STYLE NO. AS PER CUSTOMER</t>
  </si>
  <si>
    <t>COLOUR</t>
  </si>
  <si>
    <t>VPO #</t>
  </si>
  <si>
    <t>CPO #</t>
  </si>
  <si>
    <t>DEL METHOD</t>
  </si>
  <si>
    <t>DEL TERM</t>
  </si>
  <si>
    <t>PACK MET</t>
  </si>
  <si>
    <t>Z FTR</t>
  </si>
  <si>
    <t>XS</t>
  </si>
  <si>
    <t>S</t>
  </si>
  <si>
    <t>M</t>
  </si>
  <si>
    <t>L</t>
  </si>
  <si>
    <t>XL</t>
  </si>
  <si>
    <t>XXL</t>
  </si>
  <si>
    <t>Total</t>
  </si>
  <si>
    <t>CO#</t>
  </si>
  <si>
    <t>SCHEDULE#</t>
  </si>
  <si>
    <t>Header Level Information</t>
  </si>
  <si>
    <t xml:space="preserve">Header </t>
  </si>
  <si>
    <t>Point 1</t>
  </si>
  <si>
    <t>Point 2</t>
  </si>
  <si>
    <t xml:space="preserve">Character limit is 8 (Minimum &amp; Maximum Both)  </t>
  </si>
  <si>
    <t>Customer</t>
  </si>
  <si>
    <t>Style No</t>
  </si>
  <si>
    <t>Season</t>
  </si>
  <si>
    <t>Year</t>
  </si>
  <si>
    <t>What the product is</t>
  </si>
  <si>
    <t>Maximum Character limit is 60</t>
  </si>
  <si>
    <t>“PCS” is fixed value. Don’t change</t>
  </si>
  <si>
    <t>In BEL all garments are send as “PCS”</t>
  </si>
  <si>
    <t xml:space="preserve">Select from the list. Don’t amend </t>
  </si>
  <si>
    <t>When the style is placed then planner need to decide at where they are going to stich this order. Then that is fixed till this style goes end (After the system entry is proceed can’t change the lead factory at any cost)</t>
  </si>
  <si>
    <t xml:space="preserve">Who is the payer </t>
  </si>
  <si>
    <t xml:space="preserve">What division that is belongs to, more important to analysis in sales  </t>
  </si>
  <si>
    <t xml:space="preserve">At what season for this style belongs </t>
  </si>
  <si>
    <t>Maximum Character limit is 40</t>
  </si>
  <si>
    <t xml:space="preserve">Owner of this style </t>
  </si>
  <si>
    <t xml:space="preserve">Who is responsible for order (style) to stich </t>
  </si>
  <si>
    <t xml:space="preserve">Main fabric “Composition” of this style </t>
  </si>
  <si>
    <t>BOM Sheet Information</t>
  </si>
  <si>
    <t>MAIN CATEGORY</t>
  </si>
  <si>
    <t>Description of the product Group</t>
  </si>
  <si>
    <t xml:space="preserve">Type of the RM </t>
  </si>
  <si>
    <t>Item Name</t>
  </si>
  <si>
    <t>This filed will be filled automatically after the above 6 levels (BOM sheet macro) are filled</t>
  </si>
  <si>
    <t>Can add any additional information without deleting/ amending auto generated values. (Maximum Character limit is 30)</t>
  </si>
  <si>
    <t>ITEM DESCRIPTION</t>
  </si>
  <si>
    <t>Can add any additional information without deleting/ amending auto generated values. (Maximum Character limit is 60)</t>
  </si>
  <si>
    <t>To be used in front of delivery specific RM only, referring to column "M" in the CO sheet</t>
  </si>
  <si>
    <t>Maximum Character limit is 30</t>
  </si>
  <si>
    <t>BOM garment color &amp; CO garment color should be equal</t>
  </si>
  <si>
    <t>Used for identified very special cases only. Please contact the COP administrator if you need to use this column or leave it blank</t>
  </si>
  <si>
    <t>YY (Consumption)</t>
  </si>
  <si>
    <t xml:space="preserve">Can be used up to 6 decimal places only </t>
  </si>
  <si>
    <t xml:space="preserve">Value should be in percentage </t>
  </si>
  <si>
    <t>Unit of measurement managed in the stores</t>
  </si>
  <si>
    <t>Unit of measurement used to raise PO (supplier UOM)</t>
  </si>
  <si>
    <t xml:space="preserve">Conversion of SKU UOM to Purchase UOM </t>
  </si>
  <si>
    <t xml:space="preserve">Only the value is accepted </t>
  </si>
  <si>
    <t>PURCHASE PRICE</t>
  </si>
  <si>
    <t xml:space="preserve">Can be used up to 8 decimal places only </t>
  </si>
  <si>
    <t xml:space="preserve">Auto generated field, Don’t amend </t>
  </si>
  <si>
    <t>FREIGHT</t>
  </si>
  <si>
    <t xml:space="preserve">Can be used up to 4 decimal places only </t>
  </si>
  <si>
    <t>TC</t>
  </si>
  <si>
    <t xml:space="preserve">Minimum Order Quantity </t>
  </si>
  <si>
    <t>Normally we are not using this field, because when we are raising PO we used to club few styles requirement together so because of that we can achieve that minimum. Please contact the COP administrator if you need to use this column or leave it blank</t>
  </si>
  <si>
    <t>Number of individual pieces include in one purchase unit or the rounded up number in the PO as agreed with the supplier. Should not be in decimals</t>
  </si>
  <si>
    <t xml:space="preserve">Currently only M&amp;S team is using this field </t>
  </si>
  <si>
    <t>Default dates in this field is 21 in M3. What this field does is based on this field value POP breaking to lines</t>
  </si>
  <si>
    <t xml:space="preserve">Default value in this field is 5 in M3. Value should be in percentage </t>
  </si>
  <si>
    <t>Number of days taken for manufacturing process of the order as per the agreement with customer.</t>
  </si>
  <si>
    <t>OPS TO TRACK Sheet Information</t>
  </si>
  <si>
    <t>SMV</t>
  </si>
  <si>
    <t xml:space="preserve">Can be used up to 3 decimal places only </t>
  </si>
  <si>
    <t>CO Sheet Information</t>
  </si>
  <si>
    <t>To where the shipment is going (Country)</t>
  </si>
  <si>
    <t>Customer requested delivery date (DDMMYY)</t>
  </si>
  <si>
    <t>Planner confirm delivery date (DDMMYY)</t>
  </si>
  <si>
    <t xml:space="preserve">Customer style no </t>
  </si>
  <si>
    <t>CO garment color &amp; BOM garment color should be equal</t>
  </si>
  <si>
    <t>Vender Purchase Order No ( if you do not have a vendor / separate vender purchase order number, please use the number given in CPO column do not keep this field blank)</t>
  </si>
  <si>
    <t>Maximum Character limit is 20</t>
  </si>
  <si>
    <t xml:space="preserve">Customer Purchase Order No </t>
  </si>
  <si>
    <t>FOB PRICE</t>
  </si>
  <si>
    <t>Always FOB (Free on board)</t>
  </si>
  <si>
    <t>Maximum Character limit is 36</t>
  </si>
  <si>
    <t>Please refer below table</t>
  </si>
  <si>
    <t xml:space="preserve">Merchandiser/Item Responsible </t>
  </si>
  <si>
    <t xml:space="preserve">Buyer </t>
  </si>
  <si>
    <t>Buyer Division</t>
  </si>
  <si>
    <t>Buyer  !</t>
  </si>
  <si>
    <t>PACKING METHOD</t>
  </si>
  <si>
    <t>Hierarchy</t>
  </si>
  <si>
    <t>HIERARCHY CODE</t>
  </si>
  <si>
    <t>HIERARCHY DESCRIPTION</t>
  </si>
  <si>
    <t>Fabric Composition</t>
  </si>
  <si>
    <t>RM PRODUCT GROUP</t>
  </si>
  <si>
    <t>Merchant List</t>
  </si>
  <si>
    <t>Merchant List2</t>
  </si>
  <si>
    <t>Planner List</t>
  </si>
  <si>
    <t>Sourcing List</t>
  </si>
  <si>
    <t>U/M - Description</t>
  </si>
  <si>
    <t>Lead factory</t>
  </si>
  <si>
    <t>Factory ID</t>
  </si>
  <si>
    <t>Packing Method</t>
  </si>
  <si>
    <t>Mode</t>
  </si>
  <si>
    <t>M&amp;S DES</t>
  </si>
  <si>
    <t>H&amp;M DES</t>
  </si>
  <si>
    <t>VSS DES</t>
  </si>
  <si>
    <t>VSD DES</t>
  </si>
  <si>
    <t>MAS DES</t>
  </si>
  <si>
    <t>HANES DES</t>
  </si>
  <si>
    <t>BRA01196 - DBA SAS</t>
  </si>
  <si>
    <t xml:space="preserve">D03 - DBA/DIM/Men's </t>
  </si>
  <si>
    <t>2PK - 2 Pcs per pack</t>
  </si>
  <si>
    <t>F1HCT</t>
  </si>
  <si>
    <t xml:space="preserve">FAB WVN 100% CT                         </t>
  </si>
  <si>
    <t>OR100CT</t>
  </si>
  <si>
    <t>100% ORG CTN</t>
  </si>
  <si>
    <t>“O” – RM Purchased for a confirmed Order</t>
  </si>
  <si>
    <t>140 - 	Brandix Essentials Koggala</t>
  </si>
  <si>
    <t>BEN ELIAS INDUSTRIES CROP - BEN01476</t>
  </si>
  <si>
    <t>BEN/KNIT UNDERWEAR/MEN'S - B08</t>
  </si>
  <si>
    <t>Amila Bakmeewatta - BER2682</t>
  </si>
  <si>
    <t>Maduranga Gunawardena - BER1619</t>
  </si>
  <si>
    <t>Fabric</t>
  </si>
  <si>
    <t>A4 PAPER</t>
  </si>
  <si>
    <t>Brand</t>
  </si>
  <si>
    <t>BDL - Bundles</t>
  </si>
  <si>
    <t>3M LANKA (PVT) LTD. - MLA01493</t>
  </si>
  <si>
    <t>AIR - AIR FREIGHT</t>
  </si>
  <si>
    <t>C&amp;F - Cost &amp; Freight</t>
  </si>
  <si>
    <t>AIN - Apparel India</t>
  </si>
  <si>
    <t>ARC - AIR FREIGHT COLLECT</t>
  </si>
  <si>
    <t>Lasitha Kulatileke - BAW2042</t>
  </si>
  <si>
    <t xml:space="preserve">Chaturangani Anusha                     </t>
  </si>
  <si>
    <t xml:space="preserve">BAW10074  </t>
  </si>
  <si>
    <t>Darshana Wijesooriya - BAW457</t>
  </si>
  <si>
    <t>Samitha Dissanayake - BAW2393</t>
  </si>
  <si>
    <t>BOX - Box - 5000 Pcs</t>
  </si>
  <si>
    <t>Brandix Active Wear - India</t>
  </si>
  <si>
    <t>BAI</t>
  </si>
  <si>
    <t>BEL01</t>
  </si>
  <si>
    <t>BRA01195 - DBA (BRANDED APPARAL ITALIA S.R.L)</t>
  </si>
  <si>
    <t xml:space="preserve">D04 - DBA/Lovable/Fila/Men's </t>
  </si>
  <si>
    <t>30P - 30 pcs per 1 poly bag</t>
  </si>
  <si>
    <t>F1PC1</t>
  </si>
  <si>
    <t xml:space="preserve">FAB WVN 65% POLYSTER 35% CT             </t>
  </si>
  <si>
    <t>CT100</t>
  </si>
  <si>
    <t>100% CTN</t>
  </si>
  <si>
    <t>“V” – RM Purchased to stock</t>
  </si>
  <si>
    <t>145 - 	Brandix Apparel India</t>
  </si>
  <si>
    <t>BRANDED APPARAL ITALIA S.R.L - BRA01195</t>
  </si>
  <si>
    <t>BEN/WOVEN UNDERWEAR/MEN'S - B09</t>
  </si>
  <si>
    <t>Amila Kumarasiri - BELINT0008</t>
  </si>
  <si>
    <t>Malitha Dilruk - BER1377</t>
  </si>
  <si>
    <t xml:space="preserve">Sewing trims </t>
  </si>
  <si>
    <t>BANDEROLL</t>
  </si>
  <si>
    <t>Non Brand</t>
  </si>
  <si>
    <t>BKS - Books</t>
  </si>
  <si>
    <t>AMERICAN AND EFIRD LANKA (PVT) LTD. - AME15666</t>
  </si>
  <si>
    <t>CFR - Cost &amp; Freight</t>
  </si>
  <si>
    <t>Anishka Ambawatte-BELINT0004</t>
  </si>
  <si>
    <t>AIP - Apparel India Plant 2</t>
  </si>
  <si>
    <t>ARP - AIR FREIGHT PREPAID</t>
  </si>
  <si>
    <t>Kalpani Peiris - BAW2047</t>
  </si>
  <si>
    <t xml:space="preserve">Oshan Eranda                            </t>
  </si>
  <si>
    <t xml:space="preserve">BAW101    </t>
  </si>
  <si>
    <t>Deepani Attanayake - BAW509</t>
  </si>
  <si>
    <t>Sisira Kaluarachchi - BAW2203</t>
  </si>
  <si>
    <t>BTL - Bottle</t>
  </si>
  <si>
    <t>Brandix Active Wear - Koggala</t>
  </si>
  <si>
    <t>BAW</t>
  </si>
  <si>
    <t>09-090</t>
  </si>
  <si>
    <t>AIR</t>
  </si>
  <si>
    <t>UK01</t>
  </si>
  <si>
    <t>CAN01</t>
  </si>
  <si>
    <t>USA01</t>
  </si>
  <si>
    <t>HMH00933 - H &amp; M HENNES &amp; MAURITZ</t>
  </si>
  <si>
    <t>H01 - H &amp; M /Children’s - 6530</t>
  </si>
  <si>
    <t>3HB - 3 Pcs Hanger Bag</t>
  </si>
  <si>
    <t>F2CE1</t>
  </si>
  <si>
    <t xml:space="preserve">FAB WFT KNT 96%CT 4% ELS                </t>
  </si>
  <si>
    <t>SP100</t>
  </si>
  <si>
    <t>100% SPNDX</t>
  </si>
  <si>
    <t>BRANDIX APPARELS LTD - BAL00632</t>
  </si>
  <si>
    <t>BRANDIX REVERSE LOGISTICS - B05</t>
  </si>
  <si>
    <t>Asanka Waduge - BER2547</t>
  </si>
  <si>
    <t>Nihal Somaweera - BAW15765</t>
  </si>
  <si>
    <t xml:space="preserve">Packing trims </t>
  </si>
  <si>
    <t>BEADS</t>
  </si>
  <si>
    <t>BLT - Belt</t>
  </si>
  <si>
    <t>ANANDA DEVASINGHE - ANA15509</t>
  </si>
  <si>
    <t>CIF - Cost, Insurance &amp; Freight</t>
  </si>
  <si>
    <t>EDV - Essentials Devon</t>
  </si>
  <si>
    <t>ASC - AIR/SEA FREIGHT COLLECT</t>
  </si>
  <si>
    <t>Rismy Mohamed  - BAW2135</t>
  </si>
  <si>
    <t xml:space="preserve">Chandrika Jayalath                      </t>
  </si>
  <si>
    <t xml:space="preserve">BAW10176  </t>
  </si>
  <si>
    <t>Lilantha Wijerathne - BAW510</t>
  </si>
  <si>
    <t>Anuradha Jayasinghe - BAW2206</t>
  </si>
  <si>
    <t>BX1 - Box - 10000 Pieces</t>
  </si>
  <si>
    <t>10-100</t>
  </si>
  <si>
    <t>ASE</t>
  </si>
  <si>
    <t>CHE01</t>
  </si>
  <si>
    <t>USA02</t>
  </si>
  <si>
    <t>H02 - H &amp; M /Girls  – 2932</t>
  </si>
  <si>
    <t>HAN00940 - HBI (HANES BRANDS)</t>
  </si>
  <si>
    <t>3PF - 3 Pcs per pack-Flat Pack</t>
  </si>
  <si>
    <t>F2CL1</t>
  </si>
  <si>
    <t xml:space="preserve">FABIRC WFT KNT 93/7% COTTTON/LYC        </t>
  </si>
  <si>
    <t>PO100</t>
  </si>
  <si>
    <t>100% POLY</t>
  </si>
  <si>
    <t>BRANDIX INTIMATES APP WELISAR - SBIA0625</t>
  </si>
  <si>
    <t>CK/KNIT MENS UNDERWEAR - C04</t>
  </si>
  <si>
    <t>Asiri Sandakelum - BE1038</t>
  </si>
  <si>
    <t>Praneeth Siriwardana - BELINT0078</t>
  </si>
  <si>
    <t xml:space="preserve">Services </t>
  </si>
  <si>
    <t>BLACK</t>
  </si>
  <si>
    <t>BOX - Box</t>
  </si>
  <si>
    <t>ANTLER FABRIC PRINTERS (PVT ) LTD. - ANT03364</t>
  </si>
  <si>
    <t>CIP - Carraige Insurance Paid to</t>
  </si>
  <si>
    <t>Anushaka Rodrigo-BAW716</t>
  </si>
  <si>
    <t>EHA - Essentials Hambanthota</t>
  </si>
  <si>
    <t>ASP - AIR/SEA FREIGHT PRE-PAID</t>
  </si>
  <si>
    <t>Thusitha Ranasinghe - BAW2136</t>
  </si>
  <si>
    <t xml:space="preserve">Deepika Dilrukshi                       </t>
  </si>
  <si>
    <t xml:space="preserve">BAW10286  </t>
  </si>
  <si>
    <t>Nishantha Gunarathna - BAW530</t>
  </si>
  <si>
    <t>Malika Sellahewa - BAW2209</t>
  </si>
  <si>
    <t>CNS - Cones</t>
  </si>
  <si>
    <t>2 Pcs per pack</t>
  </si>
  <si>
    <t>CON</t>
  </si>
  <si>
    <t>CHN01</t>
  </si>
  <si>
    <t xml:space="preserve">H03 - H &amp; M /Ladies  – 3708 </t>
  </si>
  <si>
    <t>MAR00137 - Marks &amp; Spencer</t>
  </si>
  <si>
    <t>3PH - 3 Pcs per pack-Hanger Pack</t>
  </si>
  <si>
    <t>F2CL2</t>
  </si>
  <si>
    <t xml:space="preserve">FABIRC WFT KNT 94/6% CT/LYC             </t>
  </si>
  <si>
    <t>MO100</t>
  </si>
  <si>
    <t>100% MODAL</t>
  </si>
  <si>
    <t>DIM SAS - BRA01196</t>
  </si>
  <si>
    <t>CK/KNIT WOMENS UNDERWEAR - C05</t>
  </si>
  <si>
    <t>Awanthi Attapaththu - BER2663</t>
  </si>
  <si>
    <t>Priyani Perera - BER1011</t>
  </si>
  <si>
    <t>Costing Only</t>
  </si>
  <si>
    <t>BOARD</t>
  </si>
  <si>
    <t>APPAREL TECHNOLOGIES (PVT) LTD. - APP01899</t>
  </si>
  <si>
    <t>COL - Collect</t>
  </si>
  <si>
    <t>Buddhika Galpothdeniya-BER2702</t>
  </si>
  <si>
    <t>EKA - Essentials Kahawatte</t>
  </si>
  <si>
    <t>CRC - COURIER COLLECT</t>
  </si>
  <si>
    <t>Yoshan Wickramasinghe - BAW2138</t>
  </si>
  <si>
    <t xml:space="preserve">Renuka Ranaweera                        </t>
  </si>
  <si>
    <t xml:space="preserve">BAW10344  </t>
  </si>
  <si>
    <t>Dhanushka Amarasinghe - BAW718</t>
  </si>
  <si>
    <t>Asanka Thomas - BAW2210</t>
  </si>
  <si>
    <t>CTN - Carton</t>
  </si>
  <si>
    <t>30 pcs per 1 poly bag</t>
  </si>
  <si>
    <t>CRR</t>
  </si>
  <si>
    <t>DE01</t>
  </si>
  <si>
    <t>H04 - H &amp; M /Mens  – 7988</t>
  </si>
  <si>
    <t>MAS00468 - Mast Ind</t>
  </si>
  <si>
    <t>3PK - 3 Pcs per pack</t>
  </si>
  <si>
    <t>F2CL3</t>
  </si>
  <si>
    <t xml:space="preserve">FABIRC WFT KNT 95/5% CT/LYC             </t>
  </si>
  <si>
    <t>RA100</t>
  </si>
  <si>
    <t>100% RAYON</t>
  </si>
  <si>
    <t>FOUNDATION GARMENTS (PVT) LTD - FOU01625</t>
  </si>
  <si>
    <t>CK/SALESMEN SAMPLE/KNIT MEN'S UNDERWEAR - C08</t>
  </si>
  <si>
    <t>Chanaka  Perera - BER2817</t>
  </si>
  <si>
    <t>Ranga Chaminda - BAW390</t>
  </si>
  <si>
    <t>BOX</t>
  </si>
  <si>
    <t>AQUATEX INTERNATIONAL LTD C/O SNS FA - AQU16639</t>
  </si>
  <si>
    <t>CON - CONSOLIDATED SHIPMENT</t>
  </si>
  <si>
    <t>CPT - Carraige Paid to</t>
  </si>
  <si>
    <t>Crishani Dilinika-BELINT0075</t>
  </si>
  <si>
    <t>EKG - Essentials Koggala</t>
  </si>
  <si>
    <t>CRP - COURIER PREPAID</t>
  </si>
  <si>
    <t>Dharshan Cooray - BAW2165</t>
  </si>
  <si>
    <t xml:space="preserve">Rohan Jayalath                          </t>
  </si>
  <si>
    <t xml:space="preserve">BAW10436  </t>
  </si>
  <si>
    <t>Suraj Malinga - BAW763</t>
  </si>
  <si>
    <t>Mahesha Walpola - BAW2244</t>
  </si>
  <si>
    <t>DST - Dozen Sets</t>
  </si>
  <si>
    <t>T3FP1</t>
  </si>
  <si>
    <t>FLA</t>
  </si>
  <si>
    <t>DEN01</t>
  </si>
  <si>
    <t>H05 - H &amp; M/LOGG ladies – 1670</t>
  </si>
  <si>
    <t>4PK - 4 Pcs per pack</t>
  </si>
  <si>
    <t>F2CO1</t>
  </si>
  <si>
    <t xml:space="preserve">FAB WFT KNT 43/52/5%CT/OR CT/SP         </t>
  </si>
  <si>
    <t>LY100</t>
  </si>
  <si>
    <t>100% LYCRA</t>
  </si>
  <si>
    <t>HANES BRANDS - HAN00940</t>
  </si>
  <si>
    <t>CK/SALESMEN SAMPLE/KNIT WOMENS UNDERWEAR - C09</t>
  </si>
  <si>
    <t>Chathurika Munaweera - BE2630</t>
  </si>
  <si>
    <t>Samithra Rathnayaka - BE1165</t>
  </si>
  <si>
    <t>BOX WITH HANGER</t>
  </si>
  <si>
    <t>CAN - Cans</t>
  </si>
  <si>
    <t>ARAMCO POLYTHENE (PVT) LTD - ARA01239</t>
  </si>
  <si>
    <t>DAF - Delivered at Frontier</t>
  </si>
  <si>
    <t>Disna Karawita-BER2721</t>
  </si>
  <si>
    <t>ENV - Essentials Nivithigala</t>
  </si>
  <si>
    <t>FLC - FLASH COLLECT</t>
  </si>
  <si>
    <t>Oshadee Dayaratne - BAW2243</t>
  </si>
  <si>
    <t xml:space="preserve">Samadara Liyanage                       </t>
  </si>
  <si>
    <t xml:space="preserve">BAW10503  </t>
  </si>
  <si>
    <t>Chathuri Assalaarachchi - BAW764</t>
  </si>
  <si>
    <t>Nalir Mohomed - BAW2280</t>
  </si>
  <si>
    <t>DZN - Dozen</t>
  </si>
  <si>
    <t>T3FP2</t>
  </si>
  <si>
    <t>ROA</t>
  </si>
  <si>
    <t>ESP01</t>
  </si>
  <si>
    <t xml:space="preserve">H06 - Hanes/Ladies </t>
  </si>
  <si>
    <t>4PP - 4 pcs per 1 poly bag</t>
  </si>
  <si>
    <t>F2CO2</t>
  </si>
  <si>
    <t xml:space="preserve">FAB WFT KNT 43/57% CT/OR CT             </t>
  </si>
  <si>
    <t>NY100</t>
  </si>
  <si>
    <t>100% NYL</t>
  </si>
  <si>
    <t>HENNES AND MAURITZ INDIA PVT LTD - HMH00933</t>
  </si>
  <si>
    <t>DBA/ BELLINDA/MENS - D12</t>
  </si>
  <si>
    <t>Sasanga Perera - BER1191</t>
  </si>
  <si>
    <t>BUTTON</t>
  </si>
  <si>
    <t>ARROW TEXTILES LTD - ARR08760</t>
  </si>
  <si>
    <t>DAP - Deliver At place</t>
  </si>
  <si>
    <t>EPG - Essentials Polgahawela</t>
  </si>
  <si>
    <t>FLP - FLASH PREPAID</t>
  </si>
  <si>
    <t>Imali De Silva - BAW2273</t>
  </si>
  <si>
    <t xml:space="preserve">Manjula Ranasinghe                      </t>
  </si>
  <si>
    <t xml:space="preserve">BAW10654  </t>
  </si>
  <si>
    <t>Ruvinda Abeysinghe - BAW798</t>
  </si>
  <si>
    <t>Sampath Paranagama - BAW2304</t>
  </si>
  <si>
    <t>GRS - Gross</t>
  </si>
  <si>
    <t>T3FP3</t>
  </si>
  <si>
    <t>ROB</t>
  </si>
  <si>
    <t>GB01</t>
  </si>
  <si>
    <t xml:space="preserve">H07 - Hanes/Men's </t>
  </si>
  <si>
    <t>BLP - Bulk Packing</t>
  </si>
  <si>
    <t>F2CP1</t>
  </si>
  <si>
    <t xml:space="preserve">FABIRC WFT KNT 75/25% COT/POLY          </t>
  </si>
  <si>
    <t>CT99SP1</t>
  </si>
  <si>
    <t>99% CTN/1% SPNDX</t>
  </si>
  <si>
    <t>MARKS AND SPENCER - MAR00137</t>
  </si>
  <si>
    <t>DBA/ DIM/ LADIES - D22</t>
  </si>
  <si>
    <t>Dilini Fernando - BER2727</t>
  </si>
  <si>
    <t>CARTON</t>
  </si>
  <si>
    <t>ARTS INTERNATIONAL ENTERPRISES LTD - ART14282</t>
  </si>
  <si>
    <t>EXF - EX-FACTORY</t>
  </si>
  <si>
    <t>DDP - Delivered Duty Paid</t>
  </si>
  <si>
    <t>ERK - Essentials Rambukkana</t>
  </si>
  <si>
    <t>LAC - AIR FRE COLLECT LZ</t>
  </si>
  <si>
    <t>Kaushala Nissanka - BAW2299</t>
  </si>
  <si>
    <t xml:space="preserve">Surath Fernando                         </t>
  </si>
  <si>
    <t xml:space="preserve">BAW107    </t>
  </si>
  <si>
    <t>Pragathi Ranasinghe - BAW829</t>
  </si>
  <si>
    <t>Ranusha Fernando - BAW2322</t>
  </si>
  <si>
    <t>KG - Kilogram</t>
  </si>
  <si>
    <t>3 Pcs per pack</t>
  </si>
  <si>
    <t>SAR</t>
  </si>
  <si>
    <t>HKG01</t>
  </si>
  <si>
    <t>M01 - M&amp;S/boys wear</t>
  </si>
  <si>
    <t>FLP - Flat Packing</t>
  </si>
  <si>
    <t>F2CS1</t>
  </si>
  <si>
    <t xml:space="preserve">FABIRC WFT KNT 75/25% COT/SP            </t>
  </si>
  <si>
    <t>CT98SP2</t>
  </si>
  <si>
    <t>98% CTN/2% SPNDX</t>
  </si>
  <si>
    <t>MAST INDUSTRIES INC - MAS00468</t>
  </si>
  <si>
    <t>DBA/ DIM/ MENS - D03</t>
  </si>
  <si>
    <t>Suresh Govindasamy - BER1430</t>
  </si>
  <si>
    <t>CELLOTAPE</t>
  </si>
  <si>
    <t>CUM - Cubic Meter</t>
  </si>
  <si>
    <t>AVERY DENNISON HONG KONG B.V. - AVE03374</t>
  </si>
  <si>
    <t>DDU - Delivered Duty unpaid</t>
  </si>
  <si>
    <t>ESS - Essentials Subcon Sri Lanka</t>
  </si>
  <si>
    <t>LAP - AIR FRE PRE LZ</t>
  </si>
  <si>
    <t>Apsara Sethuhewa - BAW2326</t>
  </si>
  <si>
    <t xml:space="preserve">Chandrapala Jayarathna                  </t>
  </si>
  <si>
    <t xml:space="preserve">BAW1103   </t>
  </si>
  <si>
    <t>Nadeeka Arumathanthri  - BAW840</t>
  </si>
  <si>
    <t>Tharanga Delpachitra - BAW2325</t>
  </si>
  <si>
    <t>KGS - KGS</t>
  </si>
  <si>
    <t>4PK</t>
  </si>
  <si>
    <t>SEA</t>
  </si>
  <si>
    <t>JPN01</t>
  </si>
  <si>
    <t>M02 - M&amp;S/girls wear</t>
  </si>
  <si>
    <t>HNG - Hanger Pack</t>
  </si>
  <si>
    <t>F2CS2</t>
  </si>
  <si>
    <t xml:space="preserve">FAB WFT KNT 93/7% COTTTON/SP            </t>
  </si>
  <si>
    <t>CT97SP3</t>
  </si>
  <si>
    <t>97% CTN/3% SPNDX</t>
  </si>
  <si>
    <t>PVH CORP - PVH01563</t>
  </si>
  <si>
    <t>DBA/ LOVABLE/ FILA/ LADIES - D06</t>
  </si>
  <si>
    <t>Dushan Kumara - BER2819</t>
  </si>
  <si>
    <t>CLIP</t>
  </si>
  <si>
    <t>DRM - Drums</t>
  </si>
  <si>
    <t>AVERY DENNISON INDIA PVT LTD - AVE06525</t>
  </si>
  <si>
    <t>DEQ - Delivered Ex-QUAY</t>
  </si>
  <si>
    <t>LOC - LOC</t>
  </si>
  <si>
    <t>Mahesh Abeysinghe - BAW2328</t>
  </si>
  <si>
    <t xml:space="preserve">J.L.Nadeesha                            </t>
  </si>
  <si>
    <t xml:space="preserve">BAW11169  </t>
  </si>
  <si>
    <t>Ruwan Jayawardana - BAW2335</t>
  </si>
  <si>
    <t>LBS - Pound</t>
  </si>
  <si>
    <t>63-004</t>
  </si>
  <si>
    <t>ME</t>
  </si>
  <si>
    <t>M03 - M&amp;S/men’s wear</t>
  </si>
  <si>
    <t>MXP - Mixed Packing</t>
  </si>
  <si>
    <t>F2CS3</t>
  </si>
  <si>
    <t xml:space="preserve">FABIRC WFT KNT 94/6% CT/SP              </t>
  </si>
  <si>
    <t>CT96SP4</t>
  </si>
  <si>
    <t>96% CTN/4% SPNDX</t>
  </si>
  <si>
    <t>THE WARNACO GROUP INC. - THE01628</t>
  </si>
  <si>
    <t>DBA/ LOVABLE/ FILA/ MENS - D04</t>
  </si>
  <si>
    <t>Himesh De Ruberu - BE2626</t>
  </si>
  <si>
    <t>DIVIDER</t>
  </si>
  <si>
    <t>AVERY DENNISON LANKA PVT LTD - AVE08684</t>
  </si>
  <si>
    <t>DES - Delivered Ex-Ship</t>
  </si>
  <si>
    <t>LSE - SEA FREIGHT INTL LZ</t>
  </si>
  <si>
    <t>Viraj Fernando - BAW2329</t>
  </si>
  <si>
    <t xml:space="preserve">Damith Ruwankumara                      </t>
  </si>
  <si>
    <t xml:space="preserve">BAW11211  </t>
  </si>
  <si>
    <t>Nishantha Mohottige - BAW283</t>
  </si>
  <si>
    <t>Sameera Kariyawasam - BAW2384</t>
  </si>
  <si>
    <t>LTR - Litre</t>
  </si>
  <si>
    <t>85-008</t>
  </si>
  <si>
    <t>ME01</t>
  </si>
  <si>
    <t>M04 - M&amp;S/T14 - Men's /Authentic</t>
  </si>
  <si>
    <t>PLG - Polybag Packing</t>
  </si>
  <si>
    <t>F2CS4</t>
  </si>
  <si>
    <t xml:space="preserve">FABIRC WFT KNT 95/5% CT/SP              </t>
  </si>
  <si>
    <t>CT95SP5</t>
  </si>
  <si>
    <t>95% CTN/5% SPNDX</t>
  </si>
  <si>
    <t>DBA/ NUR DIE/ MENS - D11</t>
  </si>
  <si>
    <t>Ishanka Nandasena - BER2722</t>
  </si>
  <si>
    <t>ELASTIC</t>
  </si>
  <si>
    <t>BILLION RISE KNITTING (H.K.) LIMITED - BIL16038</t>
  </si>
  <si>
    <t>ROA - ROAD TRANSPORT</t>
  </si>
  <si>
    <t>EX1 - Ex Factory</t>
  </si>
  <si>
    <t>MSE - SEA FREIGHT FCL</t>
  </si>
  <si>
    <t>Lalith Bandara - BAW2333</t>
  </si>
  <si>
    <t>Dulari Wewegedara - BAW2390</t>
  </si>
  <si>
    <t>MTR - Meter</t>
  </si>
  <si>
    <t>Bulk Packing</t>
  </si>
  <si>
    <t>NLD01</t>
  </si>
  <si>
    <t>M05 - M&amp;S/T14 - Men's /Outstanding Value</t>
  </si>
  <si>
    <t>PRP - Pre-pack</t>
  </si>
  <si>
    <t>F2CS5</t>
  </si>
  <si>
    <t xml:space="preserve">FABRIC WFT KNT 95/5% ORGANIC CT/SP      </t>
  </si>
  <si>
    <t>CT94SP6</t>
  </si>
  <si>
    <t>94% CTN/6% SPNDX</t>
  </si>
  <si>
    <t>DBA/ABANDERADO/MENS - D28</t>
  </si>
  <si>
    <t>Kamila De Silva - BER2788</t>
  </si>
  <si>
    <t>FASTNERS</t>
  </si>
  <si>
    <t>FT - Feets</t>
  </si>
  <si>
    <t>BISCHOFF GAMMA LANKA (PVT) LTD - BIS10163</t>
  </si>
  <si>
    <t>ROB - Road Bonded</t>
  </si>
  <si>
    <t>EXW - Ex Works</t>
  </si>
  <si>
    <t>Piumali Pathirana - BAW2346</t>
  </si>
  <si>
    <t>Rajitha Ranathunga - BAW2448</t>
  </si>
  <si>
    <t>NOS - Numbers</t>
  </si>
  <si>
    <t>Flat Packing</t>
  </si>
  <si>
    <t>NOR01</t>
  </si>
  <si>
    <t>M06 - M&amp;S/T17 (Mens)/Blue Harbour</t>
  </si>
  <si>
    <t>RTO - Ration Packing</t>
  </si>
  <si>
    <t>F2CS6</t>
  </si>
  <si>
    <t xml:space="preserve">FAB WFT KNT 88/12% COTTTON/SP           </t>
  </si>
  <si>
    <t>CT93SP7</t>
  </si>
  <si>
    <t>93% CTN/7% SPNDX</t>
  </si>
  <si>
    <t>DBA/PLAYBOY/MENS - D29</t>
  </si>
  <si>
    <t>Kasun Dharmasiri - BER2742</t>
  </si>
  <si>
    <t>FLAT KNIT</t>
  </si>
  <si>
    <t>GMS - Grams</t>
  </si>
  <si>
    <t>BOOTS HOLDING CO.LTD - BOO08854</t>
  </si>
  <si>
    <t>SAC - SEA/AIR FREIGHT COLLECT</t>
  </si>
  <si>
    <t>FAS - Free Alongside Ship</t>
  </si>
  <si>
    <t>Madara Hennayake-BER2671</t>
  </si>
  <si>
    <t>Pradeepa Fernando - BAW2359</t>
  </si>
  <si>
    <t>Nilanka Imbuldeniya - BAW2467</t>
  </si>
  <si>
    <t>PC1 - 100 Pieces</t>
  </si>
  <si>
    <t>Hanger Pack</t>
  </si>
  <si>
    <t>POL01</t>
  </si>
  <si>
    <t>M07 - M&amp;S/T17 (Mens)/North Coast</t>
  </si>
  <si>
    <t>SET - Set Item</t>
  </si>
  <si>
    <t>F2CS7</t>
  </si>
  <si>
    <t xml:space="preserve">FAB WFT KNT 91/9% COTTTON/LYCRA         </t>
  </si>
  <si>
    <t>CT92SP8</t>
  </si>
  <si>
    <t>92% CTN/8% SPNDX</t>
  </si>
  <si>
    <t>H &amp; M /Ladies  3708 - H03</t>
  </si>
  <si>
    <t>Kasun Nanayakkara - BAW2473</t>
  </si>
  <si>
    <t>GUM</t>
  </si>
  <si>
    <t>BRAIFORM (HK) LIMITED - BRA15348</t>
  </si>
  <si>
    <t>SAP - SEA/AIR FREIGHT PREPAID</t>
  </si>
  <si>
    <t>FCA - Free Carrier</t>
  </si>
  <si>
    <t>Mahesh De Silva-BE2511</t>
  </si>
  <si>
    <t>Dinu De Silva - BAW2361</t>
  </si>
  <si>
    <t>Anushaka Rodrigo - BAW716</t>
  </si>
  <si>
    <t>PC3 - 1000 Pieces</t>
  </si>
  <si>
    <t>Mixed Packing</t>
  </si>
  <si>
    <t>RUS01</t>
  </si>
  <si>
    <t>M08 - M&amp;S/T54 (Ladies)/Indigo</t>
  </si>
  <si>
    <t>SIN - Single pc  packing method</t>
  </si>
  <si>
    <t>F2HCT</t>
  </si>
  <si>
    <t xml:space="preserve">FABIRC WFT KNT 100% CT                  </t>
  </si>
  <si>
    <t>CT91SP9</t>
  </si>
  <si>
    <t>91% CTN/9% SPNDX</t>
  </si>
  <si>
    <t>H &amp; M /Mens  - 7988 - H04</t>
  </si>
  <si>
    <t>Krishan De Abrew - BER2741</t>
  </si>
  <si>
    <t>HANG TAG</t>
  </si>
  <si>
    <t>IN - Inch</t>
  </si>
  <si>
    <t>BRANDIX HANGERS (PVT) LTD - BRA14694</t>
  </si>
  <si>
    <t>SEA - SEA FREIGHT</t>
  </si>
  <si>
    <t>FOB - Free On Board</t>
  </si>
  <si>
    <t>Mahesha Walpola-BAW2244</t>
  </si>
  <si>
    <t>Oshani Hettiarachchi - BAW2369</t>
  </si>
  <si>
    <t>Sithmini Chandramali - BAWINT0009</t>
  </si>
  <si>
    <t>PCS - Pieces</t>
  </si>
  <si>
    <t>Polybag Packing</t>
  </si>
  <si>
    <t>SWE01</t>
  </si>
  <si>
    <t>M09 - M&amp;S/T54 (Ladies)/Porfolio</t>
  </si>
  <si>
    <t>SLD - Solid Color Solid Size</t>
  </si>
  <si>
    <t>F2HOC</t>
  </si>
  <si>
    <t xml:space="preserve">FABIRC WFT KNT 100% OR CT               </t>
  </si>
  <si>
    <t>CT90SP10</t>
  </si>
  <si>
    <t>90% CTN/10% SPNDX</t>
  </si>
  <si>
    <t>H &amp; M Children's underwear - 6530 Boys - H01</t>
  </si>
  <si>
    <t>Lolitha Wijesuriya-BAWINT0038</t>
  </si>
  <si>
    <t>HANGER</t>
  </si>
  <si>
    <t>BRANDIX INTIMATE APPAREL WELISARA - BRA11748</t>
  </si>
  <si>
    <t>SEC - SEA FREIGHT COLLECT</t>
  </si>
  <si>
    <t>FOC - Free Of Charge</t>
  </si>
  <si>
    <t>Madhavi Weerakoon - BAW2380</t>
  </si>
  <si>
    <t>Chamara Nawarathna - BAWINT0033</t>
  </si>
  <si>
    <t>PKT - Packet</t>
  </si>
  <si>
    <t>Pre-pack</t>
  </si>
  <si>
    <t>UAE01</t>
  </si>
  <si>
    <t>M10 - M&amp;S/T58 (Classic Ladies)/Porfolio</t>
  </si>
  <si>
    <t>STD - STANDARD</t>
  </si>
  <si>
    <t>F2ME1</t>
  </si>
  <si>
    <t xml:space="preserve">FAB WFT KNT 93% MIC MDL 7%ELS           </t>
  </si>
  <si>
    <t>CT89SP11</t>
  </si>
  <si>
    <t>89% CTN/11% SPNDX</t>
  </si>
  <si>
    <t>H &amp; M Children's underwear - 6532 Girls - H09</t>
  </si>
  <si>
    <t>Manuja Jayasinghe - BER2623</t>
  </si>
  <si>
    <t>HEADER CARD</t>
  </si>
  <si>
    <t>BRIGHT SUN CORP. LIMITED - BRI00478</t>
  </si>
  <si>
    <t>SEP - SEA FREIGHT PREPAID</t>
  </si>
  <si>
    <t>LDP - Landed Duty paid</t>
  </si>
  <si>
    <t>Nirosha Thilakarathne-BER2665</t>
  </si>
  <si>
    <t>Deshan Senadheera - BAW2385</t>
  </si>
  <si>
    <t>Shashini Stembo - BAWINT0035</t>
  </si>
  <si>
    <t>ROL - Roll</t>
  </si>
  <si>
    <t>Ration Packing</t>
  </si>
  <si>
    <t>M11 - M&amp;S/T87 (Older Boys)</t>
  </si>
  <si>
    <t>WF2 - Waterfall 2 pcs Per Pack</t>
  </si>
  <si>
    <t>F2MS1</t>
  </si>
  <si>
    <t xml:space="preserve">FAB WFT KNT 90.5% CT 2%METLIC YRN7%SP   </t>
  </si>
  <si>
    <t>CT88SP12</t>
  </si>
  <si>
    <t>88% CTN/12% SPNDX</t>
  </si>
  <si>
    <t>H&amp;M /Children Underwear-Big Boys-4225 - H18</t>
  </si>
  <si>
    <t>Nadeesha Jayawardane - BER2673</t>
  </si>
  <si>
    <t>HEDER CARD W/ADHSIV</t>
  </si>
  <si>
    <t>BROOKLYN BOW AND RIBBON LTD - BRO00480</t>
  </si>
  <si>
    <t>TBA - TO BE DECIDED</t>
  </si>
  <si>
    <t>LOC - Local transport</t>
  </si>
  <si>
    <t>Pubudu Daswatta-BAWINT0056</t>
  </si>
  <si>
    <t>Nadisha Bandara - BAW2391</t>
  </si>
  <si>
    <t>Oshada Katuwawalage - BAWINT0036</t>
  </si>
  <si>
    <t>SET - Set</t>
  </si>
  <si>
    <t>Set Item</t>
  </si>
  <si>
    <t>M12 - M&amp;S/T88 (Toddler Boys)</t>
  </si>
  <si>
    <t>WF3 - Waterfall 3 pcs Per Pack</t>
  </si>
  <si>
    <t>F2MS2</t>
  </si>
  <si>
    <t xml:space="preserve">FAB WFT KNT 91%CT 2%METLIC YRN7%SP      </t>
  </si>
  <si>
    <t>CT87SP13</t>
  </si>
  <si>
    <t>87% CTN/13% SPNDX</t>
  </si>
  <si>
    <t>H&amp;M /Children Underwear-Small Boys-4215 - H17</t>
  </si>
  <si>
    <t>Nilushi Tekla - BAW277</t>
  </si>
  <si>
    <t>HEDER CARD W/HANGER</t>
  </si>
  <si>
    <t>BUREAU VERITAS CONSUMER PRODUCTS SER - BUR02626</t>
  </si>
  <si>
    <t>Roshan Priyadarshana-BE2501</t>
  </si>
  <si>
    <t>Lekha Rajapakse - BAW2394</t>
  </si>
  <si>
    <t>Thilini Lokuliyana - BAWINT0037</t>
  </si>
  <si>
    <t>SHT - Sheet</t>
  </si>
  <si>
    <t>Solid Color Solid Size</t>
  </si>
  <si>
    <t>M13 - M&amp;S/women’s wear</t>
  </si>
  <si>
    <t>WF5 - Waterfall 5 pcs Per Pack</t>
  </si>
  <si>
    <t>F3HNY</t>
  </si>
  <si>
    <t xml:space="preserve">FAB WRP KNT 100% NYL                    </t>
  </si>
  <si>
    <t>CT86SP14</t>
  </si>
  <si>
    <t>86% CTN/14% SPNDX</t>
  </si>
  <si>
    <t>H&amp;M /Divided 3937/LADIES - H20</t>
  </si>
  <si>
    <t>Niranga Madhusanka - BER1182</t>
  </si>
  <si>
    <t>INSERT BODY CARD</t>
  </si>
  <si>
    <t>C G PACKAGING INDIA - CGP10613</t>
  </si>
  <si>
    <t>Lahiru Manamperi - BAW2424</t>
  </si>
  <si>
    <t>SLT - Select</t>
  </si>
  <si>
    <t>Single pc  packing method</t>
  </si>
  <si>
    <t>L04 - LA SENZA/Cotton</t>
  </si>
  <si>
    <t>WFP - Water fall pack</t>
  </si>
  <si>
    <t>F3HNZ</t>
  </si>
  <si>
    <t xml:space="preserve">FAB WRP KNT 90%/10% NYL/SPN             </t>
  </si>
  <si>
    <t>CT85SP15</t>
  </si>
  <si>
    <t>85% CTN/15% SPNDX</t>
  </si>
  <si>
    <t>H&amp;M /Ladies 1337 - H19</t>
  </si>
  <si>
    <t>Nirmal Rankothge - BER2770</t>
  </si>
  <si>
    <t>INTERLINING</t>
  </si>
  <si>
    <t>MTT - Metric Ton</t>
  </si>
  <si>
    <t>CARLTEX ENTERPRICES (PVT) LTD - CAR01259</t>
  </si>
  <si>
    <t>Ruwanthi Anupama-BEINT0068</t>
  </si>
  <si>
    <t>Ruwantha Bandara - BAW2425</t>
  </si>
  <si>
    <t>TON - Ton</t>
  </si>
  <si>
    <t>T4CP1-Assorted clr / ratio</t>
  </si>
  <si>
    <t>L05 - LBI/Cacique/Cotton Logo</t>
  </si>
  <si>
    <t>F3NS1</t>
  </si>
  <si>
    <t xml:space="preserve">FAB WRP KNT 94/6% NYL/SP                </t>
  </si>
  <si>
    <t>CT84SP16</t>
  </si>
  <si>
    <t>84% CTN/16% SPNDX</t>
  </si>
  <si>
    <t>H&amp;M /Ladies 1338 - H23</t>
  </si>
  <si>
    <t>LABEL</t>
  </si>
  <si>
    <t>NA - NA</t>
  </si>
  <si>
    <t>CHARMING INTERNATIONAL (HK) LTD - CHA06602</t>
  </si>
  <si>
    <t>Sameera Wickramarathna-BAWINT0059</t>
  </si>
  <si>
    <t>Shamindra Welikala - BAW2453</t>
  </si>
  <si>
    <t>YRD - Yard</t>
  </si>
  <si>
    <t>Water fall pack</t>
  </si>
  <si>
    <t>V03 - VSD/PINK</t>
  </si>
  <si>
    <t>F3NS2</t>
  </si>
  <si>
    <t xml:space="preserve">FAB WRP KNT 87/13% NYL/SP               </t>
  </si>
  <si>
    <t>CT83SP17</t>
  </si>
  <si>
    <t>83% CTN/17% SPNDX</t>
  </si>
  <si>
    <t>H&amp;M /Ladies 3706 - H22</t>
  </si>
  <si>
    <t>Sachini Chathurika - BER1159</t>
  </si>
  <si>
    <t>LACE</t>
  </si>
  <si>
    <t>CHECKPOINT SYSTEMS (ZJG) CO., LTD. - CHE16557</t>
  </si>
  <si>
    <t>Sakbo Kohona - BAW2454</t>
  </si>
  <si>
    <t>V04 - VSD/VSI/Non Signature Cotton</t>
  </si>
  <si>
    <t>F3NS3</t>
  </si>
  <si>
    <t xml:space="preserve">FAB WRP KNT 86/14% NYL/SP               </t>
  </si>
  <si>
    <t>CT82SP18</t>
  </si>
  <si>
    <t>82% CTN/18% SPNDX</t>
  </si>
  <si>
    <t>H&amp;M /Ladies 3707 - H15</t>
  </si>
  <si>
    <t>Sameera Bowatta - BER2557</t>
  </si>
  <si>
    <t>LOCKER LOOP</t>
  </si>
  <si>
    <t>PAD - PAD</t>
  </si>
  <si>
    <t>CHECKPOINT SYSTEMS INC - CHE12550</t>
  </si>
  <si>
    <t>Suraj Chanaka-BAWINT0067</t>
  </si>
  <si>
    <t>Nelka Dulashinie - BAW2466</t>
  </si>
  <si>
    <t>V05 - VSD/VSI/Signature Cotton</t>
  </si>
  <si>
    <t>F3NS4</t>
  </si>
  <si>
    <t xml:space="preserve">FAB WRP KNT 85/15% NYL/SP               </t>
  </si>
  <si>
    <t>CT81SP19</t>
  </si>
  <si>
    <t>81% CTN/19% SPNDX</t>
  </si>
  <si>
    <t>H&amp;M Children's Underwear-Small Girls7922 - H16</t>
  </si>
  <si>
    <t>Sanjaya Perera - BAWINT0014</t>
  </si>
  <si>
    <t>METAL</t>
  </si>
  <si>
    <t>CHUNG HING INTERNATIONAL PACKAGING C - CHU13964</t>
  </si>
  <si>
    <t>Suresh Kawshika-BE2627</t>
  </si>
  <si>
    <t>Nouzad Nazeemdeen - BAW2207</t>
  </si>
  <si>
    <t>V06 - VSD/VSI/SophisticatedGlamou</t>
  </si>
  <si>
    <t>F3NS5</t>
  </si>
  <si>
    <t xml:space="preserve">FAB WRP KNT 86/14% POLY/SP              </t>
  </si>
  <si>
    <t>CT80SP20</t>
  </si>
  <si>
    <t>80% CTN/20% SPNDX</t>
  </si>
  <si>
    <t>H&amp;M/Big Girls-7932 - H24</t>
  </si>
  <si>
    <t>Shamil Ahamed - BER2584</t>
  </si>
  <si>
    <t>MOTIFF</t>
  </si>
  <si>
    <t>CLASSIC IMPRESSIONS (PVT) LTD - CLA01261</t>
  </si>
  <si>
    <t>Nipun Wanigasekara - BAWINT0034</t>
  </si>
  <si>
    <t>V07 - VSD/VSI/Young Glamour</t>
  </si>
  <si>
    <t>F3NS6</t>
  </si>
  <si>
    <t xml:space="preserve">FAB WRP KNT 92/8% POLY/SP               </t>
  </si>
  <si>
    <t>CT79SP21</t>
  </si>
  <si>
    <t>79% CTN/21% SPNDX</t>
  </si>
  <si>
    <t>Hanes Brands Inc/Ladies/Canadelle - H21</t>
  </si>
  <si>
    <t>Shehan Jayawardena - BER2777</t>
  </si>
  <si>
    <t>NATURAL</t>
  </si>
  <si>
    <t>COATS THREAD LANKA (PRIVATE) LIMITED - COA05563</t>
  </si>
  <si>
    <t>Tharanga Sandaruwani-BAWINT0074</t>
  </si>
  <si>
    <t>Lolitha Wijesooriya - BAWINT0038</t>
  </si>
  <si>
    <t>V08 - VSD/Womens</t>
  </si>
  <si>
    <t>F3NS7</t>
  </si>
  <si>
    <t xml:space="preserve">FAB WRP KNT 92/8% NYL/SP                </t>
  </si>
  <si>
    <t>CT78SP22</t>
  </si>
  <si>
    <t>78% CTN/22% SPNDX</t>
  </si>
  <si>
    <t>Hanes/Ladies - H06</t>
  </si>
  <si>
    <t>Sifaya Raheem - BEINT0069</t>
  </si>
  <si>
    <t>PAD PRINT</t>
  </si>
  <si>
    <t>PKT - Packets</t>
  </si>
  <si>
    <t>COLOR ZONE (PVT) LTD - COL01967</t>
  </si>
  <si>
    <t>Thilina Sampath-BER1010</t>
  </si>
  <si>
    <t>Dulip Amarasinghe - BAWINT0039</t>
  </si>
  <si>
    <t>V09 - VSD/Womens/1x1 Rib</t>
  </si>
  <si>
    <t>F3NS8</t>
  </si>
  <si>
    <t xml:space="preserve">FAB WRP KNT 72/28% POLY/SP              </t>
  </si>
  <si>
    <t>CT77SP23</t>
  </si>
  <si>
    <t>77% CTN/23% SPNDX</t>
  </si>
  <si>
    <t>Hanes/Men's - H07</t>
  </si>
  <si>
    <t>Steve De Rozairo - BER2530</t>
  </si>
  <si>
    <t>PAPER</t>
  </si>
  <si>
    <t>PND - POUNDS</t>
  </si>
  <si>
    <t>COURTAULDS CLOTHING LANKA (PVT) LTD - COU00075</t>
  </si>
  <si>
    <t>Roshan Kulatunga - BAW2470</t>
  </si>
  <si>
    <t>V10 - VSD/Womens/2x2 Rib</t>
  </si>
  <si>
    <t>F3NS9</t>
  </si>
  <si>
    <t xml:space="preserve">FAB WRP KNT 79/21% NYL/SP               </t>
  </si>
  <si>
    <t>CT76SP24</t>
  </si>
  <si>
    <t>76% CTN/24% SPNDX</t>
  </si>
  <si>
    <t>LA SENZA/Cotton - L04</t>
  </si>
  <si>
    <t>Sumithra Wannige - BER2829</t>
  </si>
  <si>
    <t>PLASTIC</t>
  </si>
  <si>
    <t>COURTAULDS IND - COU01555</t>
  </si>
  <si>
    <t>Vindayani Abeyrama-BER2831</t>
  </si>
  <si>
    <t>Rossana Ruberu - BAW2443</t>
  </si>
  <si>
    <t>V11 - VSS/BBV</t>
  </si>
  <si>
    <t>F3NT1</t>
  </si>
  <si>
    <t xml:space="preserve">FAB WRP KNT 82/18% NYL/SP               </t>
  </si>
  <si>
    <t>CT75SP25</t>
  </si>
  <si>
    <t>75% CTN/25% SPNDX</t>
  </si>
  <si>
    <t>LBI/Cacique/Cotton Logo - L05</t>
  </si>
  <si>
    <t>Suranga Kukulage - BAWINT0029</t>
  </si>
  <si>
    <t>POLY BAG</t>
  </si>
  <si>
    <t>DA VINCI COMPUTERISED LABELS PVT LTD - DAV02668</t>
  </si>
  <si>
    <t>Vishmi Lankathilake-BER2651</t>
  </si>
  <si>
    <t>V12 - VSS/Dressy</t>
  </si>
  <si>
    <t>F3NT2</t>
  </si>
  <si>
    <t xml:space="preserve">FAB WRP KNT 100% POLY                   </t>
  </si>
  <si>
    <t>CT74SP26</t>
  </si>
  <si>
    <t>74% CTN/26% SPNDX</t>
  </si>
  <si>
    <t>LBI/Satin Core - L18</t>
  </si>
  <si>
    <t>PRICE TICKET</t>
  </si>
  <si>
    <t>DECORINE LACE AND TEXTILES LIMITED - DEC10500</t>
  </si>
  <si>
    <t>Wimukthi Meegasdeniya - BEINT0071</t>
  </si>
  <si>
    <t>V13 - VSS/PINK</t>
  </si>
  <si>
    <t>F4CL1</t>
  </si>
  <si>
    <t xml:space="preserve">FAB FLAT KNIT 93/7% COTTTON/LYC         </t>
  </si>
  <si>
    <t>CT73SP27</t>
  </si>
  <si>
    <t>73% CTN/27% SPNDX</t>
  </si>
  <si>
    <t>LBI/Synthetic Core - L16</t>
  </si>
  <si>
    <t>PVC</t>
  </si>
  <si>
    <t>DESHIKA EMBROIDERY SOLUTION PVT LTD - DES06795</t>
  </si>
  <si>
    <t>Yoshika De Silva-BE329</t>
  </si>
  <si>
    <t>V14 - VSS/Pink/Womens</t>
  </si>
  <si>
    <t>F4CL2</t>
  </si>
  <si>
    <t xml:space="preserve">FAB FLAT KNIT 94/6% CT/LYC              </t>
  </si>
  <si>
    <t>CT72SP28</t>
  </si>
  <si>
    <t>72% CTN/28% SPNDX</t>
  </si>
  <si>
    <t>LBI/Synthetic Novelty - L17</t>
  </si>
  <si>
    <t>Uduwage Kanchana - BAWINT0046</t>
  </si>
  <si>
    <t>RIBBON</t>
  </si>
  <si>
    <t>SQF - Square Feets</t>
  </si>
  <si>
    <t>DIM SAS - DIM11026</t>
  </si>
  <si>
    <t>V15 - VSS/Pink/Womens/Wovens &amp; Sports</t>
  </si>
  <si>
    <t>F4CL3</t>
  </si>
  <si>
    <t xml:space="preserve">FAB FLAT KNIT 95/5% CT/LYC              </t>
  </si>
  <si>
    <t>CT71SP29</t>
  </si>
  <si>
    <t>71% CTN/29% SPNDX</t>
  </si>
  <si>
    <t>M&amp;S T71 Kids Underwear - M22</t>
  </si>
  <si>
    <t>RINGS</t>
  </si>
  <si>
    <t>TAB - Tab</t>
  </si>
  <si>
    <t>DPJ BARCODE AND LABEL PRINTERS (PVT) - DPJ01559</t>
  </si>
  <si>
    <t>V16 - VSS/VSI/Non Signature Cotton</t>
  </si>
  <si>
    <t>F4CS2</t>
  </si>
  <si>
    <t xml:space="preserve">FAB FLAT KNIT 93/7% COTTTON/SP          </t>
  </si>
  <si>
    <t>CT70SP30</t>
  </si>
  <si>
    <t>70% CTN/30% SPNDX</t>
  </si>
  <si>
    <t>M&amp;S/mens wear - M03</t>
  </si>
  <si>
    <t>SAMPLE TAG</t>
  </si>
  <si>
    <t>TBD - TBD</t>
  </si>
  <si>
    <t>DYNAFIELD CO.LTD. - DYN09014</t>
  </si>
  <si>
    <t>V17 - VSS/VSI/Signature Cotton</t>
  </si>
  <si>
    <t>F4CS3</t>
  </si>
  <si>
    <t xml:space="preserve">FAB FLAT KNIT 94/6% CT/SP               </t>
  </si>
  <si>
    <t>CT69SP31</t>
  </si>
  <si>
    <t>69% CTN/31% SPNDX</t>
  </si>
  <si>
    <t>M&amp;S/T14 - Men's / Blue Harbor - M47</t>
  </si>
  <si>
    <t>SCOTCH TAPE</t>
  </si>
  <si>
    <t>TBE - Tube</t>
  </si>
  <si>
    <t>EA INTERNATIONAL LTD - EAI14056</t>
  </si>
  <si>
    <t>V18 - VSS/VSI/SophisticatedGlamou</t>
  </si>
  <si>
    <t>F4CS4</t>
  </si>
  <si>
    <t xml:space="preserve">FAB FLAT KNIT 95/5% CT/SP               </t>
  </si>
  <si>
    <t>CT68SP32</t>
  </si>
  <si>
    <t>68% CTN/32% SPNDX</t>
  </si>
  <si>
    <t>M&amp;S/T14 - Men's / Character - M45</t>
  </si>
  <si>
    <t>SECURITY TAG</t>
  </si>
  <si>
    <t>ECONOPACK INDUSTRIES (PVT) LTD - ECO01291</t>
  </si>
  <si>
    <t>V19 - VSS/VSI/Young Glamour</t>
  </si>
  <si>
    <t>F4CS5</t>
  </si>
  <si>
    <t xml:space="preserve">FAB FLAT KNIT 95/5% ORGANIC CT/SP       </t>
  </si>
  <si>
    <t>CT67SP33</t>
  </si>
  <si>
    <t>67% CTN/33% SPNDX</t>
  </si>
  <si>
    <t>M&amp;S/T14 - Men's / Heatgen - M46</t>
  </si>
  <si>
    <t>SERVICES</t>
  </si>
  <si>
    <t>ENCAJES NORTH AMERICA - ENC13578</t>
  </si>
  <si>
    <t>F4HCT</t>
  </si>
  <si>
    <t xml:space="preserve">FAB FLAT KNIT 100% CT                   </t>
  </si>
  <si>
    <t>CT66SP34</t>
  </si>
  <si>
    <t>66% CTN/34% SPNDX</t>
  </si>
  <si>
    <t>M&amp;S/T14 - Mens / M&amp;S Man Rigid - M53</t>
  </si>
  <si>
    <t>SEWING THREAD</t>
  </si>
  <si>
    <t>ENCAJES OF COLUMBIA - ENC09344</t>
  </si>
  <si>
    <t>CT65SP35</t>
  </si>
  <si>
    <t>65% CTN/35% SPNDX</t>
  </si>
  <si>
    <t>M&amp;S/T14 - Mens / M&amp;S Man Stretch - M54</t>
  </si>
  <si>
    <t>SHRINK WRAPPING</t>
  </si>
  <si>
    <t>ESQUEL ENTERPRISES LIMITED - ESQ00535</t>
  </si>
  <si>
    <t>CT64SP36</t>
  </si>
  <si>
    <t>64% CTN/36% SPNDX</t>
  </si>
  <si>
    <t>M&amp;S/T14 - Men's /Authentic - M04</t>
  </si>
  <si>
    <t>SIZER</t>
  </si>
  <si>
    <t>ETASIA POLYETHYLENE MFG AND PRINTING - ETA10945</t>
  </si>
  <si>
    <t>CT63SP37</t>
  </si>
  <si>
    <t>63% CTN/37% SPNDX</t>
  </si>
  <si>
    <t>M&amp;S/T14 - Men's /Autograph - M20</t>
  </si>
  <si>
    <t>SPRAY CAN</t>
  </si>
  <si>
    <t>EURO JERSEY S.P.A - EUR09356</t>
  </si>
  <si>
    <t>CT62SP38</t>
  </si>
  <si>
    <t>62% CTN/38% SPNDX</t>
  </si>
  <si>
    <t>M&amp;S/T14 - Men's /Outstanding Value - M05</t>
  </si>
  <si>
    <t>STICKER</t>
  </si>
  <si>
    <t>EX PACK CORRUGATED CARTONS PRIVATE L - EXP06855</t>
  </si>
  <si>
    <t>CT61SP39</t>
  </si>
  <si>
    <t>61% CTN/39% SPNDX</t>
  </si>
  <si>
    <t>M&amp;S/T14 - Men's Underwear /Classic Brief - M30</t>
  </si>
  <si>
    <t>STRAP</t>
  </si>
  <si>
    <t>FANTASIA ELASTICS (PVT) LTD - FAN01299</t>
  </si>
  <si>
    <t>CT60SP40</t>
  </si>
  <si>
    <t>60% CTN/40% SPNDX</t>
  </si>
  <si>
    <t>M&amp;S/T32 - Ladies Shape wear - M48</t>
  </si>
  <si>
    <t>SYNTHETIC</t>
  </si>
  <si>
    <t>FAR EASTERN DYEING FINISHING (SUZHOU - FAR16418</t>
  </si>
  <si>
    <t>CT59SP41</t>
  </si>
  <si>
    <t>59% CTN/41% SPNDX</t>
  </si>
  <si>
    <t>M&amp;S/T61 - Ladies' Underwear Authentic - M19</t>
  </si>
  <si>
    <t>TAG</t>
  </si>
  <si>
    <t>FASTECH ASIA (PVT) LTD - FAS00546</t>
  </si>
  <si>
    <t>CT58SP42</t>
  </si>
  <si>
    <t>58% CTN/42% SPNDX</t>
  </si>
  <si>
    <t>M&amp;S/T61 - Ladies' Underwear Outstanding - M18</t>
  </si>
  <si>
    <t>TAG PIN</t>
  </si>
  <si>
    <t>FINE LINE SUPPLIERS - FIN01596</t>
  </si>
  <si>
    <t>CT57SP43</t>
  </si>
  <si>
    <t>57% CTN/43% SPNDX</t>
  </si>
  <si>
    <t>M&amp;S/T61 - Single Hanging Knicker - M34</t>
  </si>
  <si>
    <t>TAGPIN</t>
  </si>
  <si>
    <t>FOUNDATION GARMENT (PVT)LTD - FOU14314</t>
  </si>
  <si>
    <t>CT56SP44</t>
  </si>
  <si>
    <t>56% CTN/44% SPNDX</t>
  </si>
  <si>
    <t>PVH/BASS/KNIT UNDERWEAR/MEN'S - P06</t>
  </si>
  <si>
    <t>TAPE(PACKING)</t>
  </si>
  <si>
    <t>FOUNTAIN SET LIMITED - FOU00117</t>
  </si>
  <si>
    <t>CT55SP45</t>
  </si>
  <si>
    <t>55% CTN/45% SPNDX</t>
  </si>
  <si>
    <t>PVH/CHAPS/Woven Mens Underwear - P10</t>
  </si>
  <si>
    <t>TAPE(RUBBER)</t>
  </si>
  <si>
    <t>FREETEX ELASTIC FABRIC FACTORY CO.,L - FRE09378</t>
  </si>
  <si>
    <t>CT54SP46</t>
  </si>
  <si>
    <t>54% CTN/46% SPNDX</t>
  </si>
  <si>
    <t>PVH/CK/KNIT UNDERWEAR/MEN'S - P09</t>
  </si>
  <si>
    <t>TAPE(SEW)</t>
  </si>
  <si>
    <t>FRIENDS POLY PACKAGING PVT LTD - FRI08234</t>
  </si>
  <si>
    <t>CT53SP47</t>
  </si>
  <si>
    <t>53% CTN/47% SPNDX</t>
  </si>
  <si>
    <t>PVH/IZOD/KNIT UNDERWEAR/MEN'S - P04</t>
  </si>
  <si>
    <t>TISSUES</t>
  </si>
  <si>
    <t>FUNG LEE ELASTIC WEAVING FTY LTD - FUN11288</t>
  </si>
  <si>
    <t>CT52SP48</t>
  </si>
  <si>
    <t>52% CTN/48% SPNDX</t>
  </si>
  <si>
    <t>PVH/IZOD/WOVEN UNDERWEAR/MEN'S - P13</t>
  </si>
  <si>
    <t>UPC TAG</t>
  </si>
  <si>
    <t>G AND W - GAN12524</t>
  </si>
  <si>
    <t>CT51SP49</t>
  </si>
  <si>
    <t>51% CTN/49% SPNDX</t>
  </si>
  <si>
    <t>PVH/MK/KNIT UNDERWEAR/MEN'S - P08</t>
  </si>
  <si>
    <t>WARP KNIT</t>
  </si>
  <si>
    <t>GARLAND INDUSTRIES ANDHABERDASHERY C - GAR09382</t>
  </si>
  <si>
    <t>CT50SP50</t>
  </si>
  <si>
    <t>50% CTN/50% SPNDX</t>
  </si>
  <si>
    <t>PVH/SAM/KNIT UNDERWEAR/MEN'S - P07</t>
  </si>
  <si>
    <t>WEFT</t>
  </si>
  <si>
    <t>GARWARE BESTRETCH LIMITED - GAR08522</t>
  </si>
  <si>
    <t>PO99MO1</t>
  </si>
  <si>
    <t>99% POLY/1% MODAL</t>
  </si>
  <si>
    <t>PVH/SAMPLES/KNIT UNDERWEAR/MEN'S - P11</t>
  </si>
  <si>
    <t>WHITE</t>
  </si>
  <si>
    <t>GAYOU INTERNATIONAL LTD - GAY12593</t>
  </si>
  <si>
    <t>PO98MO2</t>
  </si>
  <si>
    <t>98% POLY/2% MODAL</t>
  </si>
  <si>
    <t>PVH/TH/KNIT UNDERWEAR/MEN'S - P03</t>
  </si>
  <si>
    <t>WOVEN</t>
  </si>
  <si>
    <t>GREAT LEAP FAR EAST CO LTD - GRE09943</t>
  </si>
  <si>
    <t>PO97MO3</t>
  </si>
  <si>
    <t>97% POLY/3% MODAL</t>
  </si>
  <si>
    <t>PVH/TH/WOVEN UNDERWEAR/MEN'S - P12</t>
  </si>
  <si>
    <t>Embroidery</t>
  </si>
  <si>
    <t>HANG GANG TEXTILE CO LTD - HAN12630</t>
  </si>
  <si>
    <t>PO96MO4</t>
  </si>
  <si>
    <t>96% POLY/4% MODAL</t>
  </si>
  <si>
    <t>PVH/VH/KNIT UNDERWEAR/MEN'S - P05</t>
  </si>
  <si>
    <t>Printing</t>
  </si>
  <si>
    <t>HAYLEYS MGT KNITTING MILLS LTD - HAY05901</t>
  </si>
  <si>
    <t>PO95MO5</t>
  </si>
  <si>
    <t>95% POLY/5% MODAL</t>
  </si>
  <si>
    <t>SUB IN BEL CK - ES2</t>
  </si>
  <si>
    <t>Testing Charges – E04</t>
  </si>
  <si>
    <t>HI FASHION HOLDINGS (PVT) LTD - HIF10215</t>
  </si>
  <si>
    <t>PO94MO6</t>
  </si>
  <si>
    <t>94% POLY/6% MODAL</t>
  </si>
  <si>
    <t>SUB IN BEL EXPRESS - ES3</t>
  </si>
  <si>
    <t>Development Charges - E05</t>
  </si>
  <si>
    <t>HO FAT HANGERS AND BUTTON PRODUCTS C - HOF00588</t>
  </si>
  <si>
    <t>PO93MO7</t>
  </si>
  <si>
    <t>93% POLY/7% MODAL</t>
  </si>
  <si>
    <t>SUB IN BEL VS - ES4</t>
  </si>
  <si>
    <t>Costing Only Charges – E08</t>
  </si>
  <si>
    <t>HONG KONG CHARTER MAX INDUSTRIAL LTD - HON13834</t>
  </si>
  <si>
    <t>PO92MO8</t>
  </si>
  <si>
    <t>92% POLY/8% MODAL</t>
  </si>
  <si>
    <t>T71 - Boys Underwear - Authentic - M24</t>
  </si>
  <si>
    <t>General Item Cost – E09</t>
  </si>
  <si>
    <t>HONGLIONG TEXTILE CO.,LTD - HON14240</t>
  </si>
  <si>
    <t>PO91MO9</t>
  </si>
  <si>
    <t>91% POLY/9% MODAL</t>
  </si>
  <si>
    <t>T71 - Boys Underwear - Autograph - M23</t>
  </si>
  <si>
    <t>HUI LIANG INDUSTRIAL CO LTD - HUI16644</t>
  </si>
  <si>
    <t>PO90MO10</t>
  </si>
  <si>
    <t>90% POLY/10% MODAL</t>
  </si>
  <si>
    <t>T71 - Boys Underwear - Base Layer - M35</t>
  </si>
  <si>
    <t>HUNG HON INDUSTRIAL LTD - HUN00583</t>
  </si>
  <si>
    <t>PO89MO11</t>
  </si>
  <si>
    <t>89% POLY/11% MODAL</t>
  </si>
  <si>
    <t>T71 - Boys Underwear - Heat Gen - M41</t>
  </si>
  <si>
    <t>IDEA L PACK LIMITED - IDE15668</t>
  </si>
  <si>
    <t>PO88MO12</t>
  </si>
  <si>
    <t>88% POLY/12% MODAL</t>
  </si>
  <si>
    <t>T71 - Boys Underwear - Outstanding Value - M25</t>
  </si>
  <si>
    <t>ILLUNA USA (R1015) - ILL09418</t>
  </si>
  <si>
    <t>PO87MO13</t>
  </si>
  <si>
    <t>87% POLY/13% MODAL</t>
  </si>
  <si>
    <t>T71 - Boys Underwear - Skin Kind - M37</t>
  </si>
  <si>
    <t>IMPRESSIONS LABELS LANKA (PVT) LTD - IMP13693</t>
  </si>
  <si>
    <t>PO86MO14</t>
  </si>
  <si>
    <t>86% POLY/14% MODAL</t>
  </si>
  <si>
    <t>T71 - Boys Underwear - Super Fine - M43</t>
  </si>
  <si>
    <t>ING GERHARD FILDAN GMBH - ING12788</t>
  </si>
  <si>
    <t>PO85MO15</t>
  </si>
  <si>
    <t>85% POLY/15% MODAL</t>
  </si>
  <si>
    <t>T71 - Boys Underwear - Thermal - M39</t>
  </si>
  <si>
    <t>INSTRUMENT TECHNOLOGIES - INS13588</t>
  </si>
  <si>
    <t>PO84MO16</t>
  </si>
  <si>
    <t>84% POLY/16% MODAL</t>
  </si>
  <si>
    <t>T71 - Girls Underwear - Authentic - M27</t>
  </si>
  <si>
    <t>INTERNATIONAL TRIMMING LANKA - INT05972</t>
  </si>
  <si>
    <t>PO83MO17</t>
  </si>
  <si>
    <t>83% POLY/17% MODAL</t>
  </si>
  <si>
    <t>T71 - Girls Underwear - Autograph - M26</t>
  </si>
  <si>
    <t>INTERNATIONAL TRIMMINGS AND LABELS ( - INT01320</t>
  </si>
  <si>
    <t>PO82MO18</t>
  </si>
  <si>
    <t>82% POLY/18% MODAL</t>
  </si>
  <si>
    <t>T71 - Girls Underwear - Base Layer - M36</t>
  </si>
  <si>
    <t>INTERTEK INDIA PVT LTD - INT12534</t>
  </si>
  <si>
    <t>PO81MO19</t>
  </si>
  <si>
    <t>81% POLY/19% MODAL</t>
  </si>
  <si>
    <t>T71 - Girls Underwear - Heat Gen - M42</t>
  </si>
  <si>
    <t>INTISSEL LANKA (PVT)LTD - INT03556</t>
  </si>
  <si>
    <t>PO80MO20</t>
  </si>
  <si>
    <t>80% POLY/20% MODAL</t>
  </si>
  <si>
    <t>T71 - Girls Underwear - Skin Kind - M38</t>
  </si>
  <si>
    <t>JF AND I PACKAGING PVT LTD - JAN10885</t>
  </si>
  <si>
    <t>PO79MO21</t>
  </si>
  <si>
    <t>79% POLY/21% MODAL</t>
  </si>
  <si>
    <t>T71 - Girls Underwear - Super Fine - M44</t>
  </si>
  <si>
    <t>JHP LANKA (PVT) LTD - JHP06039</t>
  </si>
  <si>
    <t>PO78MO22</t>
  </si>
  <si>
    <t>78% POLY/22% MODAL</t>
  </si>
  <si>
    <t>T71 - Girls Underwear - Thermal - M40</t>
  </si>
  <si>
    <t>JIANGSU AB GROUP COMPANY LIMITED - JIN15012</t>
  </si>
  <si>
    <t>PO77MO23</t>
  </si>
  <si>
    <t>77% POLY/23% MODAL</t>
  </si>
  <si>
    <t>T71 - Girls Underwear -Outstanding Value - M28</t>
  </si>
  <si>
    <t>JIANGSU LIANFA TEXTILE CO LTD - JIA10013</t>
  </si>
  <si>
    <t>PO76MO24</t>
  </si>
  <si>
    <t>76% POLY/24% MODAL</t>
  </si>
  <si>
    <t>VSD/PINK - V03</t>
  </si>
  <si>
    <t>JIAXING HUAYAN LACE MANUFACTURE CO L - JIA08302</t>
  </si>
  <si>
    <t>PO75MO25</t>
  </si>
  <si>
    <t>75% POLY/25% MODAL</t>
  </si>
  <si>
    <t>VSD/VSI Seamless - V95</t>
  </si>
  <si>
    <t>JIUN HER INDUSTRIAL COMPANY - JIU09442</t>
  </si>
  <si>
    <t>PO74MO26</t>
  </si>
  <si>
    <t>74% POLY/26% MODAL</t>
  </si>
  <si>
    <t>VSD/VSI/Non Signature Cotton - V04</t>
  </si>
  <si>
    <t>KALREN INTERNATIONAL (PVT) LTD - KAL07763</t>
  </si>
  <si>
    <t>PO73MO27</t>
  </si>
  <si>
    <t>73% POLY/27% MODAL</t>
  </si>
  <si>
    <t>VSD/VSI/Signature Cotton - V05</t>
  </si>
  <si>
    <t>KAYLEES - KAY07163</t>
  </si>
  <si>
    <t>PO72MO28</t>
  </si>
  <si>
    <t>72% POLY/28% MODAL</t>
  </si>
  <si>
    <t>VSD/VSI/SophisticatedGlamou - V06</t>
  </si>
  <si>
    <t>KEI YIP OFFSET PRINTING CO LTD - KEI09791</t>
  </si>
  <si>
    <t>PO71MO29</t>
  </si>
  <si>
    <t>71% POLY/29% MODAL</t>
  </si>
  <si>
    <t>VSD/VSI/Young Glamour - V07</t>
  </si>
  <si>
    <t>KERRY ELASTIC FABRIC LTD - KER14098</t>
  </si>
  <si>
    <t>PO70MO30</t>
  </si>
  <si>
    <t>70% POLY/30% MODAL</t>
  </si>
  <si>
    <t>VSS/PINK - V13</t>
  </si>
  <si>
    <t>KEUNG HING MANUFACTURING INTERNATION - KEU00618</t>
  </si>
  <si>
    <t>PO69MO31</t>
  </si>
  <si>
    <t>69% POLY/31% MODAL</t>
  </si>
  <si>
    <t>VSS/VSI Seamless - V96</t>
  </si>
  <si>
    <t>KOHINOOR ELASTICS PVT LTD - KOH09652</t>
  </si>
  <si>
    <t>PO68MO32</t>
  </si>
  <si>
    <t>68% POLY/32% MODAL</t>
  </si>
  <si>
    <t>VSS/VSI/Non Signature Cotton - V16</t>
  </si>
  <si>
    <t>KOREAN SPA PACKAGING PVT LTD - KOR09965</t>
  </si>
  <si>
    <t>PO67MO33</t>
  </si>
  <si>
    <t>67% POLY/33% MODAL</t>
  </si>
  <si>
    <t>VSS/VSI/Signature Cotton - V17</t>
  </si>
  <si>
    <t>KRIS FLEXIPACKS (PVT) LTD - KRI08253</t>
  </si>
  <si>
    <t>PO66MO34</t>
  </si>
  <si>
    <t>66% POLY/34% MODAL</t>
  </si>
  <si>
    <t>VSS/VSI/SophisticatedGlamou - V18</t>
  </si>
  <si>
    <t>LABEL KINGDOM PRINTERS PVT LTD - LAB13563</t>
  </si>
  <si>
    <t>PO65MO35</t>
  </si>
  <si>
    <t>65% POLY/35% MODAL</t>
  </si>
  <si>
    <t>VSS/VSI/Young Glamour - V19</t>
  </si>
  <si>
    <t>LANKA CORRUGATED INDUSTRIES (PVT) LT - LAN01345</t>
  </si>
  <si>
    <t>PO64MO36</t>
  </si>
  <si>
    <t>64% POLY/36% MODAL</t>
  </si>
  <si>
    <t>LANKA POLYBAGS AND PACKAGING (PVT) L - LAN09464</t>
  </si>
  <si>
    <t>PO63MO37</t>
  </si>
  <si>
    <t>63% POLY/37% MODAL</t>
  </si>
  <si>
    <t>LANTOR LANKA TRADING (PVT) LTD - LAN01194</t>
  </si>
  <si>
    <t>PO62MO38</t>
  </si>
  <si>
    <t>62% POLY/38% MODAL</t>
  </si>
  <si>
    <t>LEEMA EMBROIDERY (PVT) LTD - LEE02069</t>
  </si>
  <si>
    <t>PO61MO39</t>
  </si>
  <si>
    <t>61% POLY/39% MODAL</t>
  </si>
  <si>
    <t>LILIES FABRIC AND MATERIAL LIMITED - LIL06810</t>
  </si>
  <si>
    <t>PO60MO40</t>
  </si>
  <si>
    <t>60% POLY/40% MODAL</t>
  </si>
  <si>
    <t>LUEN HING TEXTILE COMPANY LIMITED - LUE09747</t>
  </si>
  <si>
    <t>PO59MO41</t>
  </si>
  <si>
    <t>59% POLY/41% MODAL</t>
  </si>
  <si>
    <t>MAINETTECH LANKA (PVT) LTD - MAI01351</t>
  </si>
  <si>
    <t>PO58MO42</t>
  </si>
  <si>
    <t>58% POLY/42% MODAL</t>
  </si>
  <si>
    <t>MAINETTI (HK) LTD - MAI14524</t>
  </si>
  <si>
    <t>PO57MO43</t>
  </si>
  <si>
    <t>57% POLY/43% MODAL</t>
  </si>
  <si>
    <t>MAINETTI INDIA PVT LTD - MAI00671</t>
  </si>
  <si>
    <t>PO56MO44</t>
  </si>
  <si>
    <t>56% POLY/44% MODAL</t>
  </si>
  <si>
    <t>MEI MEI TEXTILE LIMITED - MEI14281</t>
  </si>
  <si>
    <t>PO55MO45</t>
  </si>
  <si>
    <t>55% POLY/45% MODAL</t>
  </si>
  <si>
    <t>MICRO PACKAGING INDUSTRIES (PVT) LTD - MIC06206</t>
  </si>
  <si>
    <t>PO54MO46</t>
  </si>
  <si>
    <t>54% POLY/46% MODAL</t>
  </si>
  <si>
    <t>MORPLAN LTD - MOR06813</t>
  </si>
  <si>
    <t>PO53MO47</t>
  </si>
  <si>
    <t>53% POLY/47% MODAL</t>
  </si>
  <si>
    <t>MRC EMBROIDERY PTE LTD - MRC10664</t>
  </si>
  <si>
    <t>PO52MO48</t>
  </si>
  <si>
    <t>52% POLY/48% MODAL</t>
  </si>
  <si>
    <t>NATURUB EXPORTS INTERNATIONAL (PVT) - NAT01361</t>
  </si>
  <si>
    <t>PO51MO49</t>
  </si>
  <si>
    <t>51% POLY/49% MODAL</t>
  </si>
  <si>
    <t>NEW HORIZON ELASTIC FABRIC CO - NEW00685</t>
  </si>
  <si>
    <t>PO50MO50</t>
  </si>
  <si>
    <t>50% POLY/50% MODAL</t>
  </si>
  <si>
    <t>NEWTECH INDUSTIAL LIMITED - NEW13840</t>
  </si>
  <si>
    <t>MO99RA1</t>
  </si>
  <si>
    <t>99% MODAL/1% RAYON</t>
  </si>
  <si>
    <t>NEXGEN PACKAGING LTD - NEX10431</t>
  </si>
  <si>
    <t>MO98RA2</t>
  </si>
  <si>
    <t>98% MODAL/2% RAYON</t>
  </si>
  <si>
    <t>NOYON LANKA (PVT) LTD - NOY01364</t>
  </si>
  <si>
    <t>MO97RA3</t>
  </si>
  <si>
    <t>97% MODAL/3% RAYON</t>
  </si>
  <si>
    <t>OCEAN INDIA PVT LTD - OCE09900</t>
  </si>
  <si>
    <t>MO96RA4</t>
  </si>
  <si>
    <t>96% MODAL/4% RAYON</t>
  </si>
  <si>
    <t>OCEAN LANKA (PVT) LTD - OCE01150</t>
  </si>
  <si>
    <t>MO95RA5</t>
  </si>
  <si>
    <t>95% MODAL/5% RAYON</t>
  </si>
  <si>
    <t>OCTANE5 INTERNATIONAL LLC - OCT16094</t>
  </si>
  <si>
    <t>MO94RA6</t>
  </si>
  <si>
    <t>94% MODAL/6% RAYON</t>
  </si>
  <si>
    <t>PACIFIC TEXTILES LIMITED - PAC13606</t>
  </si>
  <si>
    <t>MO93RA7</t>
  </si>
  <si>
    <t>93% MODAL/7% RAYON</t>
  </si>
  <si>
    <t>PAPILLON RIBBON AND BOW INC (USA) - PAP09185</t>
  </si>
  <si>
    <t>MO92RA8</t>
  </si>
  <si>
    <t>92% MODAL/8% RAYON</t>
  </si>
  <si>
    <t>PIONEER ELASTIC (HONG KONG) LTD - PIO09233</t>
  </si>
  <si>
    <t>MO91RA9</t>
  </si>
  <si>
    <t>91% MODAL/9% RAYON</t>
  </si>
  <si>
    <t>PLASTIMAX - PLA10473</t>
  </si>
  <si>
    <t>MO90RA10</t>
  </si>
  <si>
    <t>90% MODAL/10% RAYON</t>
  </si>
  <si>
    <t>PLYMOUTH FRANCAISE - PLY09899</t>
  </si>
  <si>
    <t>MO89RA11</t>
  </si>
  <si>
    <t>89% MODAL/11% RAYON</t>
  </si>
  <si>
    <t>POLY CREATIONS (PVT) LTD - POL02151</t>
  </si>
  <si>
    <t>MO88RA12</t>
  </si>
  <si>
    <t>88% MODAL/12% RAYON</t>
  </si>
  <si>
    <t>POWER PROFIT ELASTIC FABRIC LIMITED - POW10343</t>
  </si>
  <si>
    <t>MO87RA13</t>
  </si>
  <si>
    <t>87% MODAL/13% RAYON</t>
  </si>
  <si>
    <t>PRYM INTIMATES LANKA (PVT) LTD. - PRY08041</t>
  </si>
  <si>
    <t>MO86RA14</t>
  </si>
  <si>
    <t>86% MODAL/14% RAYON</t>
  </si>
  <si>
    <t>PT Stretchline Indonesia - PTS08223</t>
  </si>
  <si>
    <t>MO85RA15</t>
  </si>
  <si>
    <t>85% MODAL/15% RAYON</t>
  </si>
  <si>
    <t>QUANZHOU HELUN WEAVING CO.,LTD. - QUA14851</t>
  </si>
  <si>
    <t>MO84RA16</t>
  </si>
  <si>
    <t>84% MODAL/16% RAYON</t>
  </si>
  <si>
    <t>QUENBY TRANSFERS (INDIA) PRIVATE LIM - QUE14315</t>
  </si>
  <si>
    <t>MO83RA17</t>
  </si>
  <si>
    <t>83% MODAL/17% RAYON</t>
  </si>
  <si>
    <t>R PAC HONG KONG LTD - RPA10806</t>
  </si>
  <si>
    <t>MO82RA18</t>
  </si>
  <si>
    <t>82% MODAL/18% RAYON</t>
  </si>
  <si>
    <t>S.E.C. ACCESSORIES LIMITED - SEC13980</t>
  </si>
  <si>
    <t>MO81RA19</t>
  </si>
  <si>
    <t>81% MODAL/19% RAYON</t>
  </si>
  <si>
    <t>SAMAN DYEING CENTRE - SAM02209</t>
  </si>
  <si>
    <t>MO80RA20</t>
  </si>
  <si>
    <t>80% MODAL/20% RAYON</t>
  </si>
  <si>
    <t>SAMICO NARROWTEX LTD. - SAM16008</t>
  </si>
  <si>
    <t>MO79RA21</t>
  </si>
  <si>
    <t>79% MODAL/21% RAYON</t>
  </si>
  <si>
    <t>SCREENLINE (PVT) LTD. - SCR02191</t>
  </si>
  <si>
    <t>MO78RA22</t>
  </si>
  <si>
    <t>78% MODAL/22% RAYON</t>
  </si>
  <si>
    <t>SCREENLINE EMBLISHERS PVT LTD - SCR07217</t>
  </si>
  <si>
    <t>MO77RA23</t>
  </si>
  <si>
    <t>77% MODAL/23% RAYON</t>
  </si>
  <si>
    <t>SECUNDERABAD PRINTED CARTONS PVT LTD - SEC16388</t>
  </si>
  <si>
    <t>MO76RA24</t>
  </si>
  <si>
    <t>76% MODAL/24% RAYON</t>
  </si>
  <si>
    <t>SEI HOI TEXTILE (INTERNATIONAL) LIMI - SEI13849</t>
  </si>
  <si>
    <t>MO75RA25</t>
  </si>
  <si>
    <t>75% MODAL/25% RAYON</t>
  </si>
  <si>
    <t>SENTRINO (PVT) LTD - SEN13337</t>
  </si>
  <si>
    <t>MO74RA26</t>
  </si>
  <si>
    <t>74% MODAL/26% RAYON</t>
  </si>
  <si>
    <t>SERAM ASIA LTD - SER00760</t>
  </si>
  <si>
    <t>MO73RA27</t>
  </si>
  <si>
    <t>73% MODAL/27% RAYON</t>
  </si>
  <si>
    <t>SEWEASY PVT LTD - SEW10286</t>
  </si>
  <si>
    <t>MO72RA28</t>
  </si>
  <si>
    <t>72% MODAL/28% RAYON</t>
  </si>
  <si>
    <t>SGS INDIA LTD - SGS02411</t>
  </si>
  <si>
    <t>MO71RA29</t>
  </si>
  <si>
    <t>71% MODAL/29% RAYON</t>
  </si>
  <si>
    <t>SGS LANKA (PVT) LTD - SGS03944</t>
  </si>
  <si>
    <t>MO70RA30</t>
  </si>
  <si>
    <t>70% MODAL/30% RAYON</t>
  </si>
  <si>
    <t>SHANGHAI FARTEX IMPORT AND EXPORT CO - SHA14008</t>
  </si>
  <si>
    <t>MO69RA31</t>
  </si>
  <si>
    <t>69% MODAL/31% RAYON</t>
  </si>
  <si>
    <t>SHINING LABELS MANUFACTURING LTD - SHI00763</t>
  </si>
  <si>
    <t>MO68RA32</t>
  </si>
  <si>
    <t>68% MODAL/32% RAYON</t>
  </si>
  <si>
    <t>SHIRAN PERM POLY PACKS PVT LTD - SHI01410</t>
  </si>
  <si>
    <t>MO67RA33</t>
  </si>
  <si>
    <t>67% MODAL/33% RAYON</t>
  </si>
  <si>
    <t>SHORE 2 SHORE - SHO03315</t>
  </si>
  <si>
    <t>MO66RA34</t>
  </si>
  <si>
    <t>66% MODAL/34% RAYON</t>
  </si>
  <si>
    <t>SIGNET - SIG08673</t>
  </si>
  <si>
    <t>MO65RA35</t>
  </si>
  <si>
    <t>65% MODAL/35% RAYON</t>
  </si>
  <si>
    <t>SML (HONG KONG) LIMITED - SML12904</t>
  </si>
  <si>
    <t>MO64RA36</t>
  </si>
  <si>
    <t>64% MODAL/36% RAYON</t>
  </si>
  <si>
    <t>SML DUALPLAST LANKA (PVT) LTD - SML08208</t>
  </si>
  <si>
    <t>MO63RA37</t>
  </si>
  <si>
    <t>63% MODAL/37% RAYON</t>
  </si>
  <si>
    <t>SML LABELS LOGISTIC MACAO COMMERCIA - SML09049</t>
  </si>
  <si>
    <t>MO62RA38</t>
  </si>
  <si>
    <t>62% MODAL/38% RAYON</t>
  </si>
  <si>
    <t>SOCO TEXTILES COMPANY LIMITED - SOC13008</t>
  </si>
  <si>
    <t>MO61RA39</t>
  </si>
  <si>
    <t>61% MODAL/39% RAYON</t>
  </si>
  <si>
    <t>SOUTH ASIA TEXTILE INDUSTRIES (PVT) - SOU00326</t>
  </si>
  <si>
    <t>MO60RA40</t>
  </si>
  <si>
    <t>60% MODAL/40% RAYON</t>
  </si>
  <si>
    <t>SOUTHERN AGENCIES - SOU14742</t>
  </si>
  <si>
    <t>MO59RA41</t>
  </si>
  <si>
    <t>59% MODAL/41% RAYON</t>
  </si>
  <si>
    <t>SPICA ELASTIC PRIVATE LIMITED - SPI00790</t>
  </si>
  <si>
    <t>MO58RA42</t>
  </si>
  <si>
    <t>58% MODAL/42% RAYON</t>
  </si>
  <si>
    <t>SRI LANKA INSTITUTE OF TEXTILE AND - SRI10271</t>
  </si>
  <si>
    <t>MO57RA43</t>
  </si>
  <si>
    <t>57% MODAL/43% RAYON</t>
  </si>
  <si>
    <t>STAR PACKAGING PVT LTD - STA01420</t>
  </si>
  <si>
    <t>MO56RA44</t>
  </si>
  <si>
    <t>56% MODAL/44% RAYON</t>
  </si>
  <si>
    <t>STICKLABELS INDIA PRIVATE LIMITED - STI07216</t>
  </si>
  <si>
    <t>MO55RA45</t>
  </si>
  <si>
    <t>55% MODAL/45% RAYON</t>
  </si>
  <si>
    <t>STRETCHLINE (PVT) LTD. - STR01421</t>
  </si>
  <si>
    <t>MO54RA46</t>
  </si>
  <si>
    <t>54% MODAL/46% RAYON</t>
  </si>
  <si>
    <t>SUN TAK INDUSTRIES GROUP LIMITED - SUN06614</t>
  </si>
  <si>
    <t>MO53RA47</t>
  </si>
  <si>
    <t>53% MODAL/47% RAYON</t>
  </si>
  <si>
    <t>SUNHING TEXTILES (HK) LIMITED - SUN09034</t>
  </si>
  <si>
    <t>MO52RA48</t>
  </si>
  <si>
    <t>52% MODAL/48% RAYON</t>
  </si>
  <si>
    <t>SUNNY LACE COMPANY LTD - SUN00332</t>
  </si>
  <si>
    <t>MO51RA49</t>
  </si>
  <si>
    <t>51% MODAL/49% RAYON</t>
  </si>
  <si>
    <t>SUZHOU WELLY TEXTILE CO.,LTD. - SUZ13476</t>
  </si>
  <si>
    <t>MO50RA50</t>
  </si>
  <si>
    <t>50% MODAL/50% RAYON</t>
  </si>
  <si>
    <t>TECHSTAR PACKAGING (PVT) LTD - TEC01456</t>
  </si>
  <si>
    <t>RA99LY1</t>
  </si>
  <si>
    <t>99% RAYON/1% LYCRA</t>
  </si>
  <si>
    <t>TEX TILE ENTERPRISE CO LTD - TEX08228</t>
  </si>
  <si>
    <t>RA98LY2</t>
  </si>
  <si>
    <t>98% RAYON/2% LYCRA</t>
  </si>
  <si>
    <t>TEXORN (PVT) LTD - TEX01448</t>
  </si>
  <si>
    <t>RA97LY3</t>
  </si>
  <si>
    <t>97% RAYON/3% LYCRA</t>
  </si>
  <si>
    <t>TEXTPRINT LANKA PVT LTD - TEX08559</t>
  </si>
  <si>
    <t>RA96LY4</t>
  </si>
  <si>
    <t>96% RAYON/4% LYCRA</t>
  </si>
  <si>
    <t>TEXTURED JERSEY LANKA PLC. - TEX03850</t>
  </si>
  <si>
    <t>RA95LY5</t>
  </si>
  <si>
    <t>95% RAYON/5% LYCRA</t>
  </si>
  <si>
    <t>THARINDU JBJ CREATIONS (PVT) LTD - THA12836</t>
  </si>
  <si>
    <t>RA94LY6</t>
  </si>
  <si>
    <t>94% RAYON/6% LYCRA</t>
  </si>
  <si>
    <t>THERMO PLASTIC (PVT) LTD - THE01451</t>
  </si>
  <si>
    <t>RA93LY7</t>
  </si>
  <si>
    <t>93% RAYON/7% LYCRA</t>
  </si>
  <si>
    <t>TIANHAI LACE CO LTD - TIA10766</t>
  </si>
  <si>
    <t>RA92LY8</t>
  </si>
  <si>
    <t>92% RAYON/8% LYCRA</t>
  </si>
  <si>
    <t>TREND LINK INDUSTRIAL CO., LTD - TRE14190</t>
  </si>
  <si>
    <t>RA91LY9</t>
  </si>
  <si>
    <t>91% RAYON/9% LYCRA</t>
  </si>
  <si>
    <t>TRIMSTOWN ENTERPRISE CO. LTD. - TRI15315</t>
  </si>
  <si>
    <t>RA90LY10</t>
  </si>
  <si>
    <t>90% RAYON/10% LYCRA</t>
  </si>
  <si>
    <t>TRISCHEL FABRIC (PVT) LTD - TRI13988</t>
  </si>
  <si>
    <t>RA89LY11</t>
  </si>
  <si>
    <t>89% RAYON/11% LYCRA</t>
  </si>
  <si>
    <t>U R PROMOTION - URP16156</t>
  </si>
  <si>
    <t>RA88LY12</t>
  </si>
  <si>
    <t>88% RAYON/12% LYCRA</t>
  </si>
  <si>
    <t>UNI- SUN TEXTILE CO. LTD - UNI06836</t>
  </si>
  <si>
    <t>RA87LY13</t>
  </si>
  <si>
    <t>87% RAYON/13% LYCRA</t>
  </si>
  <si>
    <t>UNICHELA (PVT) LTD - UNI01463</t>
  </si>
  <si>
    <t>RA86LY14</t>
  </si>
  <si>
    <t>86% RAYON/14% LYCRA</t>
  </si>
  <si>
    <t>UNION AG - UNI08930</t>
  </si>
  <si>
    <t>RA85LY15</t>
  </si>
  <si>
    <t>85% RAYON/15% LYCRA</t>
  </si>
  <si>
    <t>UNION PACIFIC INTERNATIONAL ENTERPRI - UNI11151</t>
  </si>
  <si>
    <t>RA84LY16</t>
  </si>
  <si>
    <t>84% RAYON/16% LYCRA</t>
  </si>
  <si>
    <t>UNIPLAST INDUSTRIES (ASIA) LIMITED - UNI13998</t>
  </si>
  <si>
    <t>RA83LY17</t>
  </si>
  <si>
    <t>83% RAYON/17% LYCRA</t>
  </si>
  <si>
    <t>VARDHMAN YARNS AND THREADS LTD - VAR15760</t>
  </si>
  <si>
    <t>RA82LY18</t>
  </si>
  <si>
    <t>82% RAYON/18% LYCRA</t>
  </si>
  <si>
    <t>WADPACK PRIVATE LIMITED - WAD14259</t>
  </si>
  <si>
    <t>RA81LY19</t>
  </si>
  <si>
    <t>81% RAYON/19% LYCRA</t>
  </si>
  <si>
    <t>WAH SING BUTTON FACTORY - WAH16040</t>
  </si>
  <si>
    <t>RA80LY20</t>
  </si>
  <si>
    <t>80% RAYON/20% LYCRA</t>
  </si>
  <si>
    <t>WAH SING LABELS LTD - WAH00844</t>
  </si>
  <si>
    <t>RA79LY21</t>
  </si>
  <si>
    <t>79% RAYON/21% LYCRA</t>
  </si>
  <si>
    <t>WARNACO GLOBAL SOURCING LTD - WAR14818</t>
  </si>
  <si>
    <t>RA78LY22</t>
  </si>
  <si>
    <t>78% RAYON/22% LYCRA</t>
  </si>
  <si>
    <t>WEAVABEL - WEA10631</t>
  </si>
  <si>
    <t>RA77LY23</t>
  </si>
  <si>
    <t>77% RAYON/23% LYCRA</t>
  </si>
  <si>
    <t>WELL SOURCE INDUSTRIES LIMITED - WEL08699</t>
  </si>
  <si>
    <t>RA76LY24</t>
  </si>
  <si>
    <t>76% RAYON/24% LYCRA</t>
  </si>
  <si>
    <t>WESTERN PAPER INDUSTRIES (PVT) LTD - WES01478</t>
  </si>
  <si>
    <t>RA75LY25</t>
  </si>
  <si>
    <t>75% RAYON/25% LYCRA</t>
  </si>
  <si>
    <t>WILKINS SPENCE PACKAGING LANKA PVT L - WIL07189</t>
  </si>
  <si>
    <t>RA74LY26</t>
  </si>
  <si>
    <t>74% RAYON/26% LYCRA</t>
  </si>
  <si>
    <t>WILLPUETZ FAR EAST LIMITED - WIL07175</t>
  </si>
  <si>
    <t>RA73LY27</t>
  </si>
  <si>
    <t>73% RAYON/27% LYCRA</t>
  </si>
  <si>
    <t>WILSON GARMENT ACCESSORIES (INTL) LT - WIL00850</t>
  </si>
  <si>
    <t>RA72LY28</t>
  </si>
  <si>
    <t>72% RAYON/28% LYCRA</t>
  </si>
  <si>
    <t>WILSON LACE AND TEXTILE (HK) LTD. - WIL15855</t>
  </si>
  <si>
    <t>RA71LY29</t>
  </si>
  <si>
    <t>71% RAYON/29% LYCRA</t>
  </si>
  <si>
    <t>WINNER BAGS PRODUCT COMPANY LTD. - WIN14778</t>
  </si>
  <si>
    <t>RA70LY30</t>
  </si>
  <si>
    <t>70% RAYON/30% LYCRA</t>
  </si>
  <si>
    <t>WINSON ENTERPRISE HK LTD - WIN10371</t>
  </si>
  <si>
    <t>RA69LY31</t>
  </si>
  <si>
    <t>69% RAYON/31% LYCRA</t>
  </si>
  <si>
    <t>WONGEAK INDUSTRY CO.LTD - WON13488</t>
  </si>
  <si>
    <t>RA68LY32</t>
  </si>
  <si>
    <t>68% RAYON/32% LYCRA</t>
  </si>
  <si>
    <t>WU TONG INDUSTRIAL CO. LTD. - WTI00854</t>
  </si>
  <si>
    <t>RA67LY33</t>
  </si>
  <si>
    <t>67% RAYON/33% LYCRA</t>
  </si>
  <si>
    <t>WUXI JINMAO CO.,LTD - WUX16643</t>
  </si>
  <si>
    <t>RA66LY34</t>
  </si>
  <si>
    <t>66% RAYON/34% LYCRA</t>
  </si>
  <si>
    <t>YAU BONG POLYBAGS PRINTING CO., LTD - YAU14155</t>
  </si>
  <si>
    <t>RA65LY35</t>
  </si>
  <si>
    <t>65% RAYON/35% LYCRA</t>
  </si>
  <si>
    <t>YOUNG BRAND APPAREL PVT LTD., - YOU16616</t>
  </si>
  <si>
    <t>RA64LY36</t>
  </si>
  <si>
    <t>64% RAYON/36% LYCRA</t>
  </si>
  <si>
    <t>YVONNE INDUSTRIAL CO LTD - YVO07597</t>
  </si>
  <si>
    <t>RA63LY37</t>
  </si>
  <si>
    <t>63% RAYON/37% LYCRA</t>
  </si>
  <si>
    <t>RA62LY38</t>
  </si>
  <si>
    <t>62% RAYON/38% LYCRA</t>
  </si>
  <si>
    <t>RA61LY39</t>
  </si>
  <si>
    <t>61% RAYON/39% LYCRA</t>
  </si>
  <si>
    <t>RA60LY40</t>
  </si>
  <si>
    <t>60% RAYON/40% LYCRA</t>
  </si>
  <si>
    <t>RA59LY41</t>
  </si>
  <si>
    <t>59% RAYON/41% LYCRA</t>
  </si>
  <si>
    <t>RA58LY42</t>
  </si>
  <si>
    <t>58% RAYON/42% LYCRA</t>
  </si>
  <si>
    <t>RA57LY43</t>
  </si>
  <si>
    <t>57% RAYON/43% LYCRA</t>
  </si>
  <si>
    <t>RA56LY44</t>
  </si>
  <si>
    <t>56% RAYON/44% LYCRA</t>
  </si>
  <si>
    <t>RA55LY45</t>
  </si>
  <si>
    <t>55% RAYON/45% LYCRA</t>
  </si>
  <si>
    <t>RA54LY46</t>
  </si>
  <si>
    <t>54% RAYON/46% LYCRA</t>
  </si>
  <si>
    <t>RA53LY47</t>
  </si>
  <si>
    <t>53% RAYON/47% LYCRA</t>
  </si>
  <si>
    <t>RA52LY48</t>
  </si>
  <si>
    <t>52% RAYON/48% LYCRA</t>
  </si>
  <si>
    <t>RA51LY49</t>
  </si>
  <si>
    <t>51% RAYON/49% LYCRA</t>
  </si>
  <si>
    <t>RA50LY50</t>
  </si>
  <si>
    <t>50% RAYON/50% LYCRA</t>
  </si>
  <si>
    <t>NY99CT1</t>
  </si>
  <si>
    <t>99% NYL/1% CTN</t>
  </si>
  <si>
    <t>NY98CT2</t>
  </si>
  <si>
    <t>98% NYL/2% CTN</t>
  </si>
  <si>
    <t>NY97CT3</t>
  </si>
  <si>
    <t>97% NYL/3% CTN</t>
  </si>
  <si>
    <t>NY96CT4</t>
  </si>
  <si>
    <t>96% NYL/4% CTN</t>
  </si>
  <si>
    <t>NY95CT5</t>
  </si>
  <si>
    <t>95% NYL/5% CTN</t>
  </si>
  <si>
    <t>NY94CT6</t>
  </si>
  <si>
    <t>94% NYL/6% CTN</t>
  </si>
  <si>
    <t>NY93CT7</t>
  </si>
  <si>
    <t>93% NYL/7% CTN</t>
  </si>
  <si>
    <t>NY92CT8</t>
  </si>
  <si>
    <t>92% NYL/8% CTN</t>
  </si>
  <si>
    <t>NY91CT9</t>
  </si>
  <si>
    <t>91% NYL/9% CTN</t>
  </si>
  <si>
    <t>NY90CT10</t>
  </si>
  <si>
    <t>90% NYL/10% CTN</t>
  </si>
  <si>
    <t>NY89CT11</t>
  </si>
  <si>
    <t>89% NYL/11% CTN</t>
  </si>
  <si>
    <t>NY88CT12</t>
  </si>
  <si>
    <t>88% NYL/12% CTN</t>
  </si>
  <si>
    <t>NY87CT13</t>
  </si>
  <si>
    <t>87% NYL/13% CTN</t>
  </si>
  <si>
    <t>NY86CT14</t>
  </si>
  <si>
    <t>86% NYL/14% CTN</t>
  </si>
  <si>
    <t>NY85CT15</t>
  </si>
  <si>
    <t>85% NYL/15% CTN</t>
  </si>
  <si>
    <t>NY84CT16</t>
  </si>
  <si>
    <t>84% NYL/16% CTN</t>
  </si>
  <si>
    <t>NY83CT17</t>
  </si>
  <si>
    <t>83% NYL/17% CTN</t>
  </si>
  <si>
    <t>NY82CT18</t>
  </si>
  <si>
    <t>82% NYL/18% CTN</t>
  </si>
  <si>
    <t>NY81CT19</t>
  </si>
  <si>
    <t>81% NYL/19% CTN</t>
  </si>
  <si>
    <t>NY80CT20</t>
  </si>
  <si>
    <t>80% NYL/20% CTN</t>
  </si>
  <si>
    <t>NY79CT21</t>
  </si>
  <si>
    <t>79% NYL/21% CTN</t>
  </si>
  <si>
    <t>NY78CT22</t>
  </si>
  <si>
    <t>78% NYL/22% CTN</t>
  </si>
  <si>
    <t>NY77CT23</t>
  </si>
  <si>
    <t>77% NYL/23% CTN</t>
  </si>
  <si>
    <t>NY76CT24</t>
  </si>
  <si>
    <t>76% NYL/24% CTN</t>
  </si>
  <si>
    <t>NY75CT25</t>
  </si>
  <si>
    <t>75% NYL/25% CTN</t>
  </si>
  <si>
    <t>NY74CT26</t>
  </si>
  <si>
    <t>74% NYL/26% CTN</t>
  </si>
  <si>
    <t>NY73CT27</t>
  </si>
  <si>
    <t>73% NYL/27% CTN</t>
  </si>
  <si>
    <t>NY72CT28</t>
  </si>
  <si>
    <t>72% NYL/28% CTN</t>
  </si>
  <si>
    <t>NY71CT29</t>
  </si>
  <si>
    <t>71% NYL/29% CTN</t>
  </si>
  <si>
    <t>NY70CT30</t>
  </si>
  <si>
    <t>70% NYL/30% CTN</t>
  </si>
  <si>
    <t>NY69CT31</t>
  </si>
  <si>
    <t>69% NYL/31% CTN</t>
  </si>
  <si>
    <t>NY68CT32</t>
  </si>
  <si>
    <t>68% NYL/32% CTN</t>
  </si>
  <si>
    <t>NY67CT33</t>
  </si>
  <si>
    <t>67% NYL/33% CTN</t>
  </si>
  <si>
    <t>NY66CT34</t>
  </si>
  <si>
    <t>66% NYL/34% CTN</t>
  </si>
  <si>
    <t>NY65CT35</t>
  </si>
  <si>
    <t>65% NYL/35% CTN</t>
  </si>
  <si>
    <t>NY64CT36</t>
  </si>
  <si>
    <t>64% NYL/36% CTN</t>
  </si>
  <si>
    <t>NY63CT37</t>
  </si>
  <si>
    <t>63% NYL/37% CTN</t>
  </si>
  <si>
    <t>NY62CT38</t>
  </si>
  <si>
    <t>62% NYL/38% CTN</t>
  </si>
  <si>
    <t>NY61CT39</t>
  </si>
  <si>
    <t>61% NYL/39% CTN</t>
  </si>
  <si>
    <t>NY60CT40</t>
  </si>
  <si>
    <t>60% NYL/40% CTN</t>
  </si>
  <si>
    <t>NY59CT41</t>
  </si>
  <si>
    <t>59% NYL/41% CTN</t>
  </si>
  <si>
    <t>NY58CT42</t>
  </si>
  <si>
    <t>58% NYL/42% CTN</t>
  </si>
  <si>
    <t>NY57CT43</t>
  </si>
  <si>
    <t>57% NYL/43% CTN</t>
  </si>
  <si>
    <t>NY56CT44</t>
  </si>
  <si>
    <t>56% NYL/44% CTN</t>
  </si>
  <si>
    <t>NY55CT45</t>
  </si>
  <si>
    <t>55% NYL/45% CTN</t>
  </si>
  <si>
    <t>NY54CT46</t>
  </si>
  <si>
    <t>54% NYL/46% CTN</t>
  </si>
  <si>
    <t>NY53CT47</t>
  </si>
  <si>
    <t>53% NYL/47% CTN</t>
  </si>
  <si>
    <t>NY52CT48</t>
  </si>
  <si>
    <t>52% NYL/48% CTN</t>
  </si>
  <si>
    <t>NY51CT49</t>
  </si>
  <si>
    <t>51% NYL/49% CTN</t>
  </si>
  <si>
    <t>NY50CT50</t>
  </si>
  <si>
    <t>50% NYL/50% CTN</t>
  </si>
  <si>
    <t>CT99PO1</t>
  </si>
  <si>
    <t>99% CTN/1% POLY</t>
  </si>
  <si>
    <t>CT98PO2</t>
  </si>
  <si>
    <t>98% CTN/2% POLY</t>
  </si>
  <si>
    <t>CT97PO3</t>
  </si>
  <si>
    <t>97% CTN/3% POLY</t>
  </si>
  <si>
    <t>CT96PO4</t>
  </si>
  <si>
    <t>96% CTN/4% POLY</t>
  </si>
  <si>
    <t>CT95PO5</t>
  </si>
  <si>
    <t>95% CTN/5% POLY</t>
  </si>
  <si>
    <t>CT94PO6</t>
  </si>
  <si>
    <t>94% CTN/6% POLY</t>
  </si>
  <si>
    <t>CT93PO7</t>
  </si>
  <si>
    <t>93% CTN/7% POLY</t>
  </si>
  <si>
    <t>CT92PO8</t>
  </si>
  <si>
    <t>92% CTN/8% POLY</t>
  </si>
  <si>
    <t>CT91PO9</t>
  </si>
  <si>
    <t>91% CTN/9% POLY</t>
  </si>
  <si>
    <t>CT90PO10</t>
  </si>
  <si>
    <t>90% CTN/10% POLY</t>
  </si>
  <si>
    <t>CT89PO11</t>
  </si>
  <si>
    <t>89% CTN/11% POLY</t>
  </si>
  <si>
    <t>CT88PO12</t>
  </si>
  <si>
    <t>88% CTN/12% POLY</t>
  </si>
  <si>
    <t>CT87PO13</t>
  </si>
  <si>
    <t>87% CTN/13% POLY</t>
  </si>
  <si>
    <t>CT86PO14</t>
  </si>
  <si>
    <t>86% CTN/14% POLY</t>
  </si>
  <si>
    <t>CT85PO15</t>
  </si>
  <si>
    <t>85% CTN/15% POLY</t>
  </si>
  <si>
    <t>CT84PO16</t>
  </si>
  <si>
    <t>84% CTN/16% POLY</t>
  </si>
  <si>
    <t>CT83PO17</t>
  </si>
  <si>
    <t>83% CTN/17% POLY</t>
  </si>
  <si>
    <t>CT82PO18</t>
  </si>
  <si>
    <t>82% CTN/18% POLY</t>
  </si>
  <si>
    <t>CT81PO19</t>
  </si>
  <si>
    <t>81% CTN/19% POLY</t>
  </si>
  <si>
    <t>CT80PO20</t>
  </si>
  <si>
    <t>80% CTN/20% POLY</t>
  </si>
  <si>
    <t>CT79PO21</t>
  </si>
  <si>
    <t>79% CTN/21% POLY</t>
  </si>
  <si>
    <t>CT78PO22</t>
  </si>
  <si>
    <t>78% CTN/22% POLY</t>
  </si>
  <si>
    <t>CT77PO23</t>
  </si>
  <si>
    <t>77% CTN/23% POLY</t>
  </si>
  <si>
    <t>CT76PO24</t>
  </si>
  <si>
    <t>76% CTN/24% POLY</t>
  </si>
  <si>
    <t>CT75PO25</t>
  </si>
  <si>
    <t>75% CTN/25% POLY</t>
  </si>
  <si>
    <t>CT74PO26</t>
  </si>
  <si>
    <t>74% CTN/26% POLY</t>
  </si>
  <si>
    <t>CT73PO27</t>
  </si>
  <si>
    <t>73% CTN/27% POLY</t>
  </si>
  <si>
    <t>CT72PO28</t>
  </si>
  <si>
    <t>72% CTN/28% POLY</t>
  </si>
  <si>
    <t>CT71PO29</t>
  </si>
  <si>
    <t>71% CTN/29% POLY</t>
  </si>
  <si>
    <t>CT70PO30</t>
  </si>
  <si>
    <t>70% CTN/30% POLY</t>
  </si>
  <si>
    <t>CT69PO31</t>
  </si>
  <si>
    <t>69% CTN/31% POLY</t>
  </si>
  <si>
    <t>CT68PO32</t>
  </si>
  <si>
    <t>68% CTN/32% POLY</t>
  </si>
  <si>
    <t>CT67PO33</t>
  </si>
  <si>
    <t>67% CTN/33% POLY</t>
  </si>
  <si>
    <t>CT66PO34</t>
  </si>
  <si>
    <t>66% CTN/34% POLY</t>
  </si>
  <si>
    <t>CT65PO35</t>
  </si>
  <si>
    <t>65% CTN/35% POLY</t>
  </si>
  <si>
    <t>CT64PO36</t>
  </si>
  <si>
    <t>64% CTN/36% POLY</t>
  </si>
  <si>
    <t>CT63PO37</t>
  </si>
  <si>
    <t>63% CTN/37% POLY</t>
  </si>
  <si>
    <t>CT62PO38</t>
  </si>
  <si>
    <t>62% CTN/38% POLY</t>
  </si>
  <si>
    <t>CT61PO39</t>
  </si>
  <si>
    <t>61% CTN/39% POLY</t>
  </si>
  <si>
    <t>CT60PO40</t>
  </si>
  <si>
    <t>60% CTN/40% POLY</t>
  </si>
  <si>
    <t>CT59PO41</t>
  </si>
  <si>
    <t>59% CTN/41% POLY</t>
  </si>
  <si>
    <t>CT58PO42</t>
  </si>
  <si>
    <t>58% CTN/42% POLY</t>
  </si>
  <si>
    <t>CT57PO43</t>
  </si>
  <si>
    <t>57% CTN/43% POLY</t>
  </si>
  <si>
    <t>CT56PO44</t>
  </si>
  <si>
    <t>56% CTN/44% POLY</t>
  </si>
  <si>
    <t>CT55PO45</t>
  </si>
  <si>
    <t>55% CTN/45% POLY</t>
  </si>
  <si>
    <t>CT54PO46</t>
  </si>
  <si>
    <t>54% CTN/46% POLY</t>
  </si>
  <si>
    <t>CT53PO47</t>
  </si>
  <si>
    <t>53% CTN/47% POLY</t>
  </si>
  <si>
    <t>CT52PO48</t>
  </si>
  <si>
    <t>52% CTN/48% POLY</t>
  </si>
  <si>
    <t>CT51PO49</t>
  </si>
  <si>
    <t>51% CTN/49% POLY</t>
  </si>
  <si>
    <t>CT50PO50</t>
  </si>
  <si>
    <t>50% CTN/50% POLY</t>
  </si>
  <si>
    <t>PO99RA1</t>
  </si>
  <si>
    <t>99% POLY/1% RAYON</t>
  </si>
  <si>
    <t>PO98RA2</t>
  </si>
  <si>
    <t>98% POLY/2% RAYON</t>
  </si>
  <si>
    <t>PO97RA3</t>
  </si>
  <si>
    <t>97% POLY/3% RAYON</t>
  </si>
  <si>
    <t>PO96RA4</t>
  </si>
  <si>
    <t>96% POLY/4% RAYON</t>
  </si>
  <si>
    <t>PO95RA5</t>
  </si>
  <si>
    <t>95% POLY/5% RAYON</t>
  </si>
  <si>
    <t>PO94RA6</t>
  </si>
  <si>
    <t>94% POLY/6% RAYON</t>
  </si>
  <si>
    <t>PO93RA7</t>
  </si>
  <si>
    <t>93% POLY/7% RAYON</t>
  </si>
  <si>
    <t>PO92RA8</t>
  </si>
  <si>
    <t>92% POLY/8% RAYON</t>
  </si>
  <si>
    <t>PO91RA9</t>
  </si>
  <si>
    <t>91% POLY/9% RAYON</t>
  </si>
  <si>
    <t>PO90RA10</t>
  </si>
  <si>
    <t>90% POLY/10% RAYON</t>
  </si>
  <si>
    <t>PO89RA11</t>
  </si>
  <si>
    <t>89% POLY/11% RAYON</t>
  </si>
  <si>
    <t>PO88RA12</t>
  </si>
  <si>
    <t>88% POLY/12% RAYON</t>
  </si>
  <si>
    <t>PO87RA13</t>
  </si>
  <si>
    <t>87% POLY/13% RAYON</t>
  </si>
  <si>
    <t>PO86RA14</t>
  </si>
  <si>
    <t>86% POLY/14% RAYON</t>
  </si>
  <si>
    <t>PO85RA15</t>
  </si>
  <si>
    <t>85% POLY/15% RAYON</t>
  </si>
  <si>
    <t>PO84RA16</t>
  </si>
  <si>
    <t>84% POLY/16% RAYON</t>
  </si>
  <si>
    <t>PO83RA17</t>
  </si>
  <si>
    <t>83% POLY/17% RAYON</t>
  </si>
  <si>
    <t>PO82RA18</t>
  </si>
  <si>
    <t>82% POLY/18% RAYON</t>
  </si>
  <si>
    <t>PO81RA19</t>
  </si>
  <si>
    <t>81% POLY/19% RAYON</t>
  </si>
  <si>
    <t>PO80RA20</t>
  </si>
  <si>
    <t>80% POLY/20% RAYON</t>
  </si>
  <si>
    <t>PO79RA21</t>
  </si>
  <si>
    <t>79% POLY/21% RAYON</t>
  </si>
  <si>
    <t>PO78RA22</t>
  </si>
  <si>
    <t>78% POLY/22% RAYON</t>
  </si>
  <si>
    <t>PO77RA23</t>
  </si>
  <si>
    <t>77% POLY/23% RAYON</t>
  </si>
  <si>
    <t>PO76RA24</t>
  </si>
  <si>
    <t>76% POLY/24% RAYON</t>
  </si>
  <si>
    <t>PO75RA25</t>
  </si>
  <si>
    <t>75% POLY/25% RAYON</t>
  </si>
  <si>
    <t>PO74RA26</t>
  </si>
  <si>
    <t>74% POLY/26% RAYON</t>
  </si>
  <si>
    <t>PO73RA27</t>
  </si>
  <si>
    <t>73% POLY/27% RAYON</t>
  </si>
  <si>
    <t>PO72RA28</t>
  </si>
  <si>
    <t>72% POLY/28% RAYON</t>
  </si>
  <si>
    <t>PO71RA29</t>
  </si>
  <si>
    <t>71% POLY/29% RAYON</t>
  </si>
  <si>
    <t>PO70RA30</t>
  </si>
  <si>
    <t>70% POLY/30% RAYON</t>
  </si>
  <si>
    <t>PO69RA31</t>
  </si>
  <si>
    <t>69% POLY/31% RAYON</t>
  </si>
  <si>
    <t>PO68RA32</t>
  </si>
  <si>
    <t>68% POLY/32% RAYON</t>
  </si>
  <si>
    <t>PO67RA33</t>
  </si>
  <si>
    <t>67% POLY/33% RAYON</t>
  </si>
  <si>
    <t>PO66RA34</t>
  </si>
  <si>
    <t>66% POLY/34% RAYON</t>
  </si>
  <si>
    <t>PO65RA35</t>
  </si>
  <si>
    <t>65% POLY/35% RAYON</t>
  </si>
  <si>
    <t>PO64RA36</t>
  </si>
  <si>
    <t>64% POLY/36% RAYON</t>
  </si>
  <si>
    <t>PO63RA37</t>
  </si>
  <si>
    <t>63% POLY/37% RAYON</t>
  </si>
  <si>
    <t>PO62RA38</t>
  </si>
  <si>
    <t>62% POLY/38% RAYON</t>
  </si>
  <si>
    <t>PO61RA39</t>
  </si>
  <si>
    <t>61% POLY/39% RAYON</t>
  </si>
  <si>
    <t>PO60RA40</t>
  </si>
  <si>
    <t>60% POLY/40% RAYON</t>
  </si>
  <si>
    <t>PO59RA41</t>
  </si>
  <si>
    <t>59% POLY/41% RAYON</t>
  </si>
  <si>
    <t>PO58RA42</t>
  </si>
  <si>
    <t>58% POLY/42% RAYON</t>
  </si>
  <si>
    <t>PO57RA43</t>
  </si>
  <si>
    <t>57% POLY/43% RAYON</t>
  </si>
  <si>
    <t>PO56RA44</t>
  </si>
  <si>
    <t>56% POLY/44% RAYON</t>
  </si>
  <si>
    <t>PO55RA45</t>
  </si>
  <si>
    <t>55% POLY/45% RAYON</t>
  </si>
  <si>
    <t>PO54RA46</t>
  </si>
  <si>
    <t>54% POLY/46% RAYON</t>
  </si>
  <si>
    <t>PO53RA47</t>
  </si>
  <si>
    <t>53% POLY/47% RAYON</t>
  </si>
  <si>
    <t>PO52RA48</t>
  </si>
  <si>
    <t>52% POLY/48% RAYON</t>
  </si>
  <si>
    <t>PO51RA49</t>
  </si>
  <si>
    <t>51% POLY/49% RAYON</t>
  </si>
  <si>
    <t>PO50RA50</t>
  </si>
  <si>
    <t>50% POLY/50% RAYON</t>
  </si>
  <si>
    <t>MO99LY1</t>
  </si>
  <si>
    <t>99% MODAL/1% LYCRA</t>
  </si>
  <si>
    <t>MO98LY2</t>
  </si>
  <si>
    <t>98% MODAL/2% LYCRA</t>
  </si>
  <si>
    <t>MO97LY3</t>
  </si>
  <si>
    <t>97% MODAL/3% LYCRA</t>
  </si>
  <si>
    <t>MO96LY4</t>
  </si>
  <si>
    <t>96% MODAL/4% LYCRA</t>
  </si>
  <si>
    <t>MO95LY5</t>
  </si>
  <si>
    <t>95% MODAL/5% LYCRA</t>
  </si>
  <si>
    <t>MO94LY6</t>
  </si>
  <si>
    <t>94% MODAL/6% LYCRA</t>
  </si>
  <si>
    <t>MO93LY7</t>
  </si>
  <si>
    <t>93% MODAL/7% LYCRA</t>
  </si>
  <si>
    <t>MO92LY8</t>
  </si>
  <si>
    <t>92% MODAL/8% LYCRA</t>
  </si>
  <si>
    <t>MO91LY9</t>
  </si>
  <si>
    <t>91% MODAL/9% LYCRA</t>
  </si>
  <si>
    <t>MO90LY10</t>
  </si>
  <si>
    <t>90% MODAL/10% LYCRA</t>
  </si>
  <si>
    <t>MO89LY11</t>
  </si>
  <si>
    <t>89% MODAL/11% LYCRA</t>
  </si>
  <si>
    <t>MO88LY12</t>
  </si>
  <si>
    <t>88% MODAL/12% LYCRA</t>
  </si>
  <si>
    <t>MO87LY13</t>
  </si>
  <si>
    <t>87% MODAL/13% LYCRA</t>
  </si>
  <si>
    <t>MO86LY14</t>
  </si>
  <si>
    <t>86% MODAL/14% LYCRA</t>
  </si>
  <si>
    <t>MO85LY15</t>
  </si>
  <si>
    <t>85% MODAL/15% LYCRA</t>
  </si>
  <si>
    <t>MO84LY16</t>
  </si>
  <si>
    <t>84% MODAL/16% LYCRA</t>
  </si>
  <si>
    <t>MO83LY17</t>
  </si>
  <si>
    <t>83% MODAL/17% LYCRA</t>
  </si>
  <si>
    <t>MO82LY18</t>
  </si>
  <si>
    <t>82% MODAL/18% LYCRA</t>
  </si>
  <si>
    <t>MO81LY19</t>
  </si>
  <si>
    <t>81% MODAL/19% LYCRA</t>
  </si>
  <si>
    <t>MO80LY20</t>
  </si>
  <si>
    <t>80% MODAL/20% LYCRA</t>
  </si>
  <si>
    <t>MO79LY21</t>
  </si>
  <si>
    <t>79% MODAL/21% LYCRA</t>
  </si>
  <si>
    <t>MO78LY22</t>
  </si>
  <si>
    <t>78% MODAL/22% LYCRA</t>
  </si>
  <si>
    <t>MO77LY23</t>
  </si>
  <si>
    <t>77% MODAL/23% LYCRA</t>
  </si>
  <si>
    <t>MO76LY24</t>
  </si>
  <si>
    <t>76% MODAL/24% LYCRA</t>
  </si>
  <si>
    <t>MO75LY25</t>
  </si>
  <si>
    <t>75% MODAL/25% LYCRA</t>
  </si>
  <si>
    <t>MO74LY26</t>
  </si>
  <si>
    <t>74% MODAL/26% LYCRA</t>
  </si>
  <si>
    <t>MO73LY27</t>
  </si>
  <si>
    <t>73% MODAL/27% LYCRA</t>
  </si>
  <si>
    <t>MO72LY28</t>
  </si>
  <si>
    <t>72% MODAL/28% LYCRA</t>
  </si>
  <si>
    <t>MO71LY29</t>
  </si>
  <si>
    <t>71% MODAL/29% LYCRA</t>
  </si>
  <si>
    <t>MO70LY30</t>
  </si>
  <si>
    <t>70% MODAL/30% LYCRA</t>
  </si>
  <si>
    <t>MO69LY31</t>
  </si>
  <si>
    <t>69% MODAL/31% LYCRA</t>
  </si>
  <si>
    <t>MO68LY32</t>
  </si>
  <si>
    <t>68% MODAL/32% LYCRA</t>
  </si>
  <si>
    <t>MO67LY33</t>
  </si>
  <si>
    <t>67% MODAL/33% LYCRA</t>
  </si>
  <si>
    <t>MO66LY34</t>
  </si>
  <si>
    <t>66% MODAL/34% LYCRA</t>
  </si>
  <si>
    <t>MO65LY35</t>
  </si>
  <si>
    <t>65% MODAL/35% LYCRA</t>
  </si>
  <si>
    <t>MO64LY36</t>
  </si>
  <si>
    <t>64% MODAL/36% LYCRA</t>
  </si>
  <si>
    <t>MO63LY37</t>
  </si>
  <si>
    <t>63% MODAL/37% LYCRA</t>
  </si>
  <si>
    <t>MO62LY38</t>
  </si>
  <si>
    <t>62% MODAL/38% LYCRA</t>
  </si>
  <si>
    <t>MO61LY39</t>
  </si>
  <si>
    <t>61% MODAL/39% LYCRA</t>
  </si>
  <si>
    <t>MO60LY40</t>
  </si>
  <si>
    <t>60% MODAL/40% LYCRA</t>
  </si>
  <si>
    <t>MO59LY41</t>
  </si>
  <si>
    <t>59% MODAL/41% LYCRA</t>
  </si>
  <si>
    <t>MO58LY42</t>
  </si>
  <si>
    <t>58% MODAL/42% LYCRA</t>
  </si>
  <si>
    <t>MO57LY43</t>
  </si>
  <si>
    <t>57% MODAL/43% LYCRA</t>
  </si>
  <si>
    <t>MO56LY44</t>
  </si>
  <si>
    <t>56% MODAL/44% LYCRA</t>
  </si>
  <si>
    <t>MO55LY45</t>
  </si>
  <si>
    <t>55% MODAL/45% LYCRA</t>
  </si>
  <si>
    <t>MO54LY46</t>
  </si>
  <si>
    <t>54% MODAL/46% LYCRA</t>
  </si>
  <si>
    <t>MO53LY47</t>
  </si>
  <si>
    <t>53% MODAL/47% LYCRA</t>
  </si>
  <si>
    <t>MO52LY48</t>
  </si>
  <si>
    <t>52% MODAL/48% LYCRA</t>
  </si>
  <si>
    <t>MO51LY49</t>
  </si>
  <si>
    <t>51% MODAL/49% LYCRA</t>
  </si>
  <si>
    <t>MO50LY50</t>
  </si>
  <si>
    <t>50% MODAL/50% LYCRA</t>
  </si>
  <si>
    <t>RA99NY1</t>
  </si>
  <si>
    <t>99% RAYON/1% NYL</t>
  </si>
  <si>
    <t>RA98NY2</t>
  </si>
  <si>
    <t>98% RAYON/2% NYL</t>
  </si>
  <si>
    <t>RA97NY3</t>
  </si>
  <si>
    <t>97% RAYON/3% NYL</t>
  </si>
  <si>
    <t>RA96NY4</t>
  </si>
  <si>
    <t>96% RAYON/4% NYL</t>
  </si>
  <si>
    <t>RA95NY5</t>
  </si>
  <si>
    <t>95% RAYON/5% NYL</t>
  </si>
  <si>
    <t>RA94NY6</t>
  </si>
  <si>
    <t>94% RAYON/6% NYL</t>
  </si>
  <si>
    <t>RA93NY7</t>
  </si>
  <si>
    <t>93% RAYON/7% NYL</t>
  </si>
  <si>
    <t>RA92NY8</t>
  </si>
  <si>
    <t>92% RAYON/8% NYL</t>
  </si>
  <si>
    <t>RA91NY9</t>
  </si>
  <si>
    <t>91% RAYON/9% NYL</t>
  </si>
  <si>
    <t>RA90NY10</t>
  </si>
  <si>
    <t>90% RAYON/10% NYL</t>
  </si>
  <si>
    <t>RA89NY11</t>
  </si>
  <si>
    <t>89% RAYON/11% NYL</t>
  </si>
  <si>
    <t>RA88NY12</t>
  </si>
  <si>
    <t>88% RAYON/12% NYL</t>
  </si>
  <si>
    <t>RA87NY13</t>
  </si>
  <si>
    <t>87% RAYON/13% NYL</t>
  </si>
  <si>
    <t>RA86NY14</t>
  </si>
  <si>
    <t>86% RAYON/14% NYL</t>
  </si>
  <si>
    <t>RA85NY15</t>
  </si>
  <si>
    <t>85% RAYON/15% NYL</t>
  </si>
  <si>
    <t>RA84NY16</t>
  </si>
  <si>
    <t>84% RAYON/16% NYL</t>
  </si>
  <si>
    <t>RA83NY17</t>
  </si>
  <si>
    <t>83% RAYON/17% NYL</t>
  </si>
  <si>
    <t>RA82NY18</t>
  </si>
  <si>
    <t>82% RAYON/18% NYL</t>
  </si>
  <si>
    <t>RA81NY19</t>
  </si>
  <si>
    <t>81% RAYON/19% NYL</t>
  </si>
  <si>
    <t>RA80NY20</t>
  </si>
  <si>
    <t>80% RAYON/20% NYL</t>
  </si>
  <si>
    <t>RA79NY21</t>
  </si>
  <si>
    <t>79% RAYON/21% NYL</t>
  </si>
  <si>
    <t>RA78NY22</t>
  </si>
  <si>
    <t>78% RAYON/22% NYL</t>
  </si>
  <si>
    <t>RA77NY23</t>
  </si>
  <si>
    <t>77% RAYON/23% NYL</t>
  </si>
  <si>
    <t>RA76NY24</t>
  </si>
  <si>
    <t>76% RAYON/24% NYL</t>
  </si>
  <si>
    <t>RA75NY25</t>
  </si>
  <si>
    <t>75% RAYON/25% NYL</t>
  </si>
  <si>
    <t>RA74NY26</t>
  </si>
  <si>
    <t>74% RAYON/26% NYL</t>
  </si>
  <si>
    <t>RA73NY27</t>
  </si>
  <si>
    <t>73% RAYON/27% NYL</t>
  </si>
  <si>
    <t>RA72NY28</t>
  </si>
  <si>
    <t>72% RAYON/28% NYL</t>
  </si>
  <si>
    <t>RA71NY29</t>
  </si>
  <si>
    <t>71% RAYON/29% NYL</t>
  </si>
  <si>
    <t>RA70NY30</t>
  </si>
  <si>
    <t>70% RAYON/30% NYL</t>
  </si>
  <si>
    <t>RA69NY31</t>
  </si>
  <si>
    <t>69% RAYON/31% NYL</t>
  </si>
  <si>
    <t>RA68NY32</t>
  </si>
  <si>
    <t>68% RAYON/32% NYL</t>
  </si>
  <si>
    <t>RA67NY33</t>
  </si>
  <si>
    <t>67% RAYON/33% NYL</t>
  </si>
  <si>
    <t>RA66NY34</t>
  </si>
  <si>
    <t>66% RAYON/34% NYL</t>
  </si>
  <si>
    <t>RA65NY35</t>
  </si>
  <si>
    <t>65% RAYON/35% NYL</t>
  </si>
  <si>
    <t>RA64NY36</t>
  </si>
  <si>
    <t>64% RAYON/36% NYL</t>
  </si>
  <si>
    <t>RA63NY37</t>
  </si>
  <si>
    <t>63% RAYON/37% NYL</t>
  </si>
  <si>
    <t>RA62NY38</t>
  </si>
  <si>
    <t>62% RAYON/38% NYL</t>
  </si>
  <si>
    <t>RA61NY39</t>
  </si>
  <si>
    <t>61% RAYON/39% NYL</t>
  </si>
  <si>
    <t>RA60NY40</t>
  </si>
  <si>
    <t>60% RAYON/40% NYL</t>
  </si>
  <si>
    <t>RA59NY41</t>
  </si>
  <si>
    <t>59% RAYON/41% NYL</t>
  </si>
  <si>
    <t>RA58NY42</t>
  </si>
  <si>
    <t>58% RAYON/42% NYL</t>
  </si>
  <si>
    <t>RA57NY43</t>
  </si>
  <si>
    <t>57% RAYON/43% NYL</t>
  </si>
  <si>
    <t>RA56NY44</t>
  </si>
  <si>
    <t>56% RAYON/44% NYL</t>
  </si>
  <si>
    <t>RA55NY45</t>
  </si>
  <si>
    <t>55% RAYON/45% NYL</t>
  </si>
  <si>
    <t>RA54NY46</t>
  </si>
  <si>
    <t>54% RAYON/46% NYL</t>
  </si>
  <si>
    <t>RA53NY47</t>
  </si>
  <si>
    <t>53% RAYON/47% NYL</t>
  </si>
  <si>
    <t>RA52NY48</t>
  </si>
  <si>
    <t>52% RAYON/48% NYL</t>
  </si>
  <si>
    <t>RA51NY49</t>
  </si>
  <si>
    <t>51% RAYON/49% NYL</t>
  </si>
  <si>
    <t>RA50NY50</t>
  </si>
  <si>
    <t>50% RAYON/50% NYL</t>
  </si>
  <si>
    <t>NY99SP1</t>
  </si>
  <si>
    <t>99% NYL/1% SPNDX</t>
  </si>
  <si>
    <t>NY98SP2</t>
  </si>
  <si>
    <t>98% NYL/2% SPNDX</t>
  </si>
  <si>
    <t>NY97SP3</t>
  </si>
  <si>
    <t>97% NYL/3% SPNDX</t>
  </si>
  <si>
    <t>NY96SP4</t>
  </si>
  <si>
    <t>96% NYL/4% SPNDX</t>
  </si>
  <si>
    <t>NY95SP5</t>
  </si>
  <si>
    <t>95% NYL/5% SPNDX</t>
  </si>
  <si>
    <t>NY94SP6</t>
  </si>
  <si>
    <t>94% NYL/6% SPNDX</t>
  </si>
  <si>
    <t>NY93SP7</t>
  </si>
  <si>
    <t>93% NYL/7% SPNDX</t>
  </si>
  <si>
    <t>NY92SP8</t>
  </si>
  <si>
    <t>92% NYL/8% SPNDX</t>
  </si>
  <si>
    <t>NY91SP9</t>
  </si>
  <si>
    <t>91% NYL/9% SPNDX</t>
  </si>
  <si>
    <t>NY90SP10</t>
  </si>
  <si>
    <t>90% NYL/10% SPNDX</t>
  </si>
  <si>
    <t>NY89SP11</t>
  </si>
  <si>
    <t>89% NYL/11% SPNDX</t>
  </si>
  <si>
    <t>NY88SP12</t>
  </si>
  <si>
    <t>88% NYL/12% SPNDX</t>
  </si>
  <si>
    <t>NY87SP13</t>
  </si>
  <si>
    <t>87% NYL/13% SPNDX</t>
  </si>
  <si>
    <t>NY86SP14</t>
  </si>
  <si>
    <t>86% NYL/14% SPNDX</t>
  </si>
  <si>
    <t>NY85SP15</t>
  </si>
  <si>
    <t>85% NYL/15% SPNDX</t>
  </si>
  <si>
    <t>NY84SP16</t>
  </si>
  <si>
    <t>84% NYL/16% SPNDX</t>
  </si>
  <si>
    <t>NY83SP17</t>
  </si>
  <si>
    <t>83% NYL/17% SPNDX</t>
  </si>
  <si>
    <t>NY82SP18</t>
  </si>
  <si>
    <t>82% NYL/18% SPNDX</t>
  </si>
  <si>
    <t>NY81SP19</t>
  </si>
  <si>
    <t>81% NYL/19% SPNDX</t>
  </si>
  <si>
    <t>NY80SP20</t>
  </si>
  <si>
    <t>80% NYL/20% SPNDX</t>
  </si>
  <si>
    <t>NY79SP21</t>
  </si>
  <si>
    <t>79% NYL/21% SPNDX</t>
  </si>
  <si>
    <t>NY78SP22</t>
  </si>
  <si>
    <t>78% NYL/22% SPNDX</t>
  </si>
  <si>
    <t>NY77SP23</t>
  </si>
  <si>
    <t>77% NYL/23% SPNDX</t>
  </si>
  <si>
    <t>NY76SP24</t>
  </si>
  <si>
    <t>76% NYL/24% SPNDX</t>
  </si>
  <si>
    <t>NY75SP25</t>
  </si>
  <si>
    <t>75% NYL/25% SPNDX</t>
  </si>
  <si>
    <t>NY74SP26</t>
  </si>
  <si>
    <t>74% NYL/26% SPNDX</t>
  </si>
  <si>
    <t>NY73SP27</t>
  </si>
  <si>
    <t>73% NYL/27% SPNDX</t>
  </si>
  <si>
    <t>NY72SP28</t>
  </si>
  <si>
    <t>72% NYL/28% SPNDX</t>
  </si>
  <si>
    <t>NY71SP29</t>
  </si>
  <si>
    <t>71% NYL/29% SPNDX</t>
  </si>
  <si>
    <t>NY70SP30</t>
  </si>
  <si>
    <t>70% NYL/30% SPNDX</t>
  </si>
  <si>
    <t>NY69SP31</t>
  </si>
  <si>
    <t>69% NYL/31% SPNDX</t>
  </si>
  <si>
    <t>NY68SP32</t>
  </si>
  <si>
    <t>68% NYL/32% SPNDX</t>
  </si>
  <si>
    <t>NY67SP33</t>
  </si>
  <si>
    <t>67% NYL/33% SPNDX</t>
  </si>
  <si>
    <t>NY66SP34</t>
  </si>
  <si>
    <t>66% NYL/34% SPNDX</t>
  </si>
  <si>
    <t>NY65SP35</t>
  </si>
  <si>
    <t>65% NYL/35% SPNDX</t>
  </si>
  <si>
    <t>NY64SP36</t>
  </si>
  <si>
    <t>64% NYL/36% SPNDX</t>
  </si>
  <si>
    <t>NY63SP37</t>
  </si>
  <si>
    <t>63% NYL/37% SPNDX</t>
  </si>
  <si>
    <t>NY62SP38</t>
  </si>
  <si>
    <t>62% NYL/38% SPNDX</t>
  </si>
  <si>
    <t>NY61SP39</t>
  </si>
  <si>
    <t>61% NYL/39% SPNDX</t>
  </si>
  <si>
    <t>NY60SP40</t>
  </si>
  <si>
    <t>60% NYL/40% SPNDX</t>
  </si>
  <si>
    <t>NY59SP41</t>
  </si>
  <si>
    <t>59% NYL/41% SPNDX</t>
  </si>
  <si>
    <t>NY58SP42</t>
  </si>
  <si>
    <t>58% NYL/42% SPNDX</t>
  </si>
  <si>
    <t>NY57SP43</t>
  </si>
  <si>
    <t>57% NYL/43% SPNDX</t>
  </si>
  <si>
    <t>NY56SP44</t>
  </si>
  <si>
    <t>56% NYL/44% SPNDX</t>
  </si>
  <si>
    <t>NY55SP45</t>
  </si>
  <si>
    <t>55% NYL/45% SPNDX</t>
  </si>
  <si>
    <t>NY54SP46</t>
  </si>
  <si>
    <t>54% NYL/46% SPNDX</t>
  </si>
  <si>
    <t>NY53SP47</t>
  </si>
  <si>
    <t>53% NYL/47% SPNDX</t>
  </si>
  <si>
    <t>NY52SP48</t>
  </si>
  <si>
    <t>52% NYL/48% SPNDX</t>
  </si>
  <si>
    <t>NY51SP49</t>
  </si>
  <si>
    <t>51% NYL/49% SPNDX</t>
  </si>
  <si>
    <t>NY50SP50</t>
  </si>
  <si>
    <t>50% NYL/50% SPNDX</t>
  </si>
  <si>
    <t>CT99MO1</t>
  </si>
  <si>
    <t>99% CTN/1% MODAL</t>
  </si>
  <si>
    <t>CT98MO2</t>
  </si>
  <si>
    <t>98% CTN/2% MODAL</t>
  </si>
  <si>
    <t>CT97MO3</t>
  </si>
  <si>
    <t>97% CTN/3% MODAL</t>
  </si>
  <si>
    <t>CT96MO4</t>
  </si>
  <si>
    <t>96% CTN/4% MODAL</t>
  </si>
  <si>
    <t>CT95MO5</t>
  </si>
  <si>
    <t>95% CTN/5% MODAL</t>
  </si>
  <si>
    <t>CT94MO6</t>
  </si>
  <si>
    <t>94% CTN/6% MODAL</t>
  </si>
  <si>
    <t>CT93MO7</t>
  </si>
  <si>
    <t>93% CTN/7% MODAL</t>
  </si>
  <si>
    <t>CT92MO8</t>
  </si>
  <si>
    <t>92% CTN/8% MODAL</t>
  </si>
  <si>
    <t>CT91MO9</t>
  </si>
  <si>
    <t>91% CTN/9% MODAL</t>
  </si>
  <si>
    <t>CT90MO10</t>
  </si>
  <si>
    <t>90% CTN/10% MODAL</t>
  </si>
  <si>
    <t>CT89MO11</t>
  </si>
  <si>
    <t>89% CTN/11% MODAL</t>
  </si>
  <si>
    <t>CT88MO12</t>
  </si>
  <si>
    <t>88% CTN/12% MODAL</t>
  </si>
  <si>
    <t>CT87MO13</t>
  </si>
  <si>
    <t>87% CTN/13% MODAL</t>
  </si>
  <si>
    <t>CT86MO14</t>
  </si>
  <si>
    <t>86% CTN/14% MODAL</t>
  </si>
  <si>
    <t>CT85MO15</t>
  </si>
  <si>
    <t>85% CTN/15% MODAL</t>
  </si>
  <si>
    <t>CT84MO16</t>
  </si>
  <si>
    <t>84% CTN/16% MODAL</t>
  </si>
  <si>
    <t>CT83MO17</t>
  </si>
  <si>
    <t>83% CTN/17% MODAL</t>
  </si>
  <si>
    <t>CT82MO18</t>
  </si>
  <si>
    <t>82% CTN/18% MODAL</t>
  </si>
  <si>
    <t>CT81MO19</t>
  </si>
  <si>
    <t>81% CTN/19% MODAL</t>
  </si>
  <si>
    <t>CT80MO20</t>
  </si>
  <si>
    <t>80% CTN/20% MODAL</t>
  </si>
  <si>
    <t>CT79MO21</t>
  </si>
  <si>
    <t>79% CTN/21% MODAL</t>
  </si>
  <si>
    <t>CT78MO22</t>
  </si>
  <si>
    <t>78% CTN/22% MODAL</t>
  </si>
  <si>
    <t>CT77MO23</t>
  </si>
  <si>
    <t>77% CTN/23% MODAL</t>
  </si>
  <si>
    <t>CT76MO24</t>
  </si>
  <si>
    <t>76% CTN/24% MODAL</t>
  </si>
  <si>
    <t>CT75MO25</t>
  </si>
  <si>
    <t>75% CTN/25% MODAL</t>
  </si>
  <si>
    <t>CT74MO26</t>
  </si>
  <si>
    <t>74% CTN/26% MODAL</t>
  </si>
  <si>
    <t>CT73MO27</t>
  </si>
  <si>
    <t>73% CTN/27% MODAL</t>
  </si>
  <si>
    <t>CT72MO28</t>
  </si>
  <si>
    <t>72% CTN/28% MODAL</t>
  </si>
  <si>
    <t>CT71MO29</t>
  </si>
  <si>
    <t>71% CTN/29% MODAL</t>
  </si>
  <si>
    <t>CT70MO30</t>
  </si>
  <si>
    <t>70% CTN/30% MODAL</t>
  </si>
  <si>
    <t>CT69MO31</t>
  </si>
  <si>
    <t>69% CTN/31% MODAL</t>
  </si>
  <si>
    <t>CT68MO32</t>
  </si>
  <si>
    <t>68% CTN/32% MODAL</t>
  </si>
  <si>
    <t>CT67MO33</t>
  </si>
  <si>
    <t>67% CTN/33% MODAL</t>
  </si>
  <si>
    <t>CT66MO34</t>
  </si>
  <si>
    <t>66% CTN/34% MODAL</t>
  </si>
  <si>
    <t>CT65MO35</t>
  </si>
  <si>
    <t>65% CTN/35% MODAL</t>
  </si>
  <si>
    <t>CT64MO36</t>
  </si>
  <si>
    <t>64% CTN/36% MODAL</t>
  </si>
  <si>
    <t>CT63MO37</t>
  </si>
  <si>
    <t>63% CTN/37% MODAL</t>
  </si>
  <si>
    <t>CT62MO38</t>
  </si>
  <si>
    <t>62% CTN/38% MODAL</t>
  </si>
  <si>
    <t>CT61MO39</t>
  </si>
  <si>
    <t>61% CTN/39% MODAL</t>
  </si>
  <si>
    <t>CT60MO40</t>
  </si>
  <si>
    <t>60% CTN/40% MODAL</t>
  </si>
  <si>
    <t>CT59MO41</t>
  </si>
  <si>
    <t>59% CTN/41% MODAL</t>
  </si>
  <si>
    <t>CT58MO42</t>
  </si>
  <si>
    <t>58% CTN/42% MODAL</t>
  </si>
  <si>
    <t>CT57MO43</t>
  </si>
  <si>
    <t>57% CTN/43% MODAL</t>
  </si>
  <si>
    <t>CT56MO44</t>
  </si>
  <si>
    <t>56% CTN/44% MODAL</t>
  </si>
  <si>
    <t>CT55MO45</t>
  </si>
  <si>
    <t>55% CTN/45% MODAL</t>
  </si>
  <si>
    <t>CT54MO46</t>
  </si>
  <si>
    <t>54% CTN/46% MODAL</t>
  </si>
  <si>
    <t>CT53MO47</t>
  </si>
  <si>
    <t>53% CTN/47% MODAL</t>
  </si>
  <si>
    <t>CT52MO48</t>
  </si>
  <si>
    <t>52% CTN/48% MODAL</t>
  </si>
  <si>
    <t>CT51MO49</t>
  </si>
  <si>
    <t>51% CTN/49% MODAL</t>
  </si>
  <si>
    <t>CT50MO50</t>
  </si>
  <si>
    <t>50% CTN/50% MODAL</t>
  </si>
  <si>
    <t>PO99LY1</t>
  </si>
  <si>
    <t>99% POLY/1% LYCRA</t>
  </si>
  <si>
    <t>PO98LY2</t>
  </si>
  <si>
    <t>98% POLY/2% LYCRA</t>
  </si>
  <si>
    <t>PO97LY3</t>
  </si>
  <si>
    <t>97% POLY/3% LYCRA</t>
  </si>
  <si>
    <t>PO96LY4</t>
  </si>
  <si>
    <t>96% POLY/4% LYCRA</t>
  </si>
  <si>
    <t>PO95LY5</t>
  </si>
  <si>
    <t>95% POLY/5% LYCRA</t>
  </si>
  <si>
    <t>PO94LY6</t>
  </si>
  <si>
    <t>94% POLY/6% LYCRA</t>
  </si>
  <si>
    <t>PO93LY7</t>
  </si>
  <si>
    <t>93% POLY/7% LYCRA</t>
  </si>
  <si>
    <t>PO92LY8</t>
  </si>
  <si>
    <t>92% POLY/8% LYCRA</t>
  </si>
  <si>
    <t>PO91LY9</t>
  </si>
  <si>
    <t>91% POLY/9% LYCRA</t>
  </si>
  <si>
    <t>PO90LY10</t>
  </si>
  <si>
    <t>90% POLY/10% LYCRA</t>
  </si>
  <si>
    <t>PO89LY11</t>
  </si>
  <si>
    <t>89% POLY/11% LYCRA</t>
  </si>
  <si>
    <t>PO88LY12</t>
  </si>
  <si>
    <t>88% POLY/12% LYCRA</t>
  </si>
  <si>
    <t>PO87LY13</t>
  </si>
  <si>
    <t>87% POLY/13% LYCRA</t>
  </si>
  <si>
    <t>PO86LY14</t>
  </si>
  <si>
    <t>86% POLY/14% LYCRA</t>
  </si>
  <si>
    <t>PO85LY15</t>
  </si>
  <si>
    <t>85% POLY/15% LYCRA</t>
  </si>
  <si>
    <t>PO84LY16</t>
  </si>
  <si>
    <t>84% POLY/16% LYCRA</t>
  </si>
  <si>
    <t>PO83LY17</t>
  </si>
  <si>
    <t>83% POLY/17% LYCRA</t>
  </si>
  <si>
    <t>PO82LY18</t>
  </si>
  <si>
    <t>82% POLY/18% LYCRA</t>
  </si>
  <si>
    <t>PO81LY19</t>
  </si>
  <si>
    <t>81% POLY/19% LYCRA</t>
  </si>
  <si>
    <t>PO80LY20</t>
  </si>
  <si>
    <t>80% POLY/20% LYCRA</t>
  </si>
  <si>
    <t>PO79LY21</t>
  </si>
  <si>
    <t>79% POLY/21% LYCRA</t>
  </si>
  <si>
    <t>PO78LY22</t>
  </si>
  <si>
    <t>78% POLY/22% LYCRA</t>
  </si>
  <si>
    <t>PO77LY23</t>
  </si>
  <si>
    <t>77% POLY/23% LYCRA</t>
  </si>
  <si>
    <t>PO76LY24</t>
  </si>
  <si>
    <t>76% POLY/24% LYCRA</t>
  </si>
  <si>
    <t>PO75LY25</t>
  </si>
  <si>
    <t>75% POLY/25% LYCRA</t>
  </si>
  <si>
    <t>PO74LY26</t>
  </si>
  <si>
    <t>74% POLY/26% LYCRA</t>
  </si>
  <si>
    <t>PO73LY27</t>
  </si>
  <si>
    <t>73% POLY/27% LYCRA</t>
  </si>
  <si>
    <t>PO72LY28</t>
  </si>
  <si>
    <t>72% POLY/28% LYCRA</t>
  </si>
  <si>
    <t>PO71LY29</t>
  </si>
  <si>
    <t>71% POLY/29% LYCRA</t>
  </si>
  <si>
    <t>PO70LY30</t>
  </si>
  <si>
    <t>70% POLY/30% LYCRA</t>
  </si>
  <si>
    <t>PO69LY31</t>
  </si>
  <si>
    <t>69% POLY/31% LYCRA</t>
  </si>
  <si>
    <t>PO68LY32</t>
  </si>
  <si>
    <t>68% POLY/32% LYCRA</t>
  </si>
  <si>
    <t>PO67LY33</t>
  </si>
  <si>
    <t>67% POLY/33% LYCRA</t>
  </si>
  <si>
    <t>PO66LY34</t>
  </si>
  <si>
    <t>66% POLY/34% LYCRA</t>
  </si>
  <si>
    <t>PO65LY35</t>
  </si>
  <si>
    <t>65% POLY/35% LYCRA</t>
  </si>
  <si>
    <t>PO64LY36</t>
  </si>
  <si>
    <t>64% POLY/36% LYCRA</t>
  </si>
  <si>
    <t>PO63LY37</t>
  </si>
  <si>
    <t>63% POLY/37% LYCRA</t>
  </si>
  <si>
    <t>PO62LY38</t>
  </si>
  <si>
    <t>62% POLY/38% LYCRA</t>
  </si>
  <si>
    <t>PO61LY39</t>
  </si>
  <si>
    <t>61% POLY/39% LYCRA</t>
  </si>
  <si>
    <t>PO60LY40</t>
  </si>
  <si>
    <t>60% POLY/40% LYCRA</t>
  </si>
  <si>
    <t>PO59LY41</t>
  </si>
  <si>
    <t>59% POLY/41% LYCRA</t>
  </si>
  <si>
    <t>PO58LY42</t>
  </si>
  <si>
    <t>58% POLY/42% LYCRA</t>
  </si>
  <si>
    <t>PO57LY43</t>
  </si>
  <si>
    <t>57% POLY/43% LYCRA</t>
  </si>
  <si>
    <t>PO56LY44</t>
  </si>
  <si>
    <t>56% POLY/44% LYCRA</t>
  </si>
  <si>
    <t>PO55LY45</t>
  </si>
  <si>
    <t>55% POLY/45% LYCRA</t>
  </si>
  <si>
    <t>PO54LY46</t>
  </si>
  <si>
    <t>54% POLY/46% LYCRA</t>
  </si>
  <si>
    <t>PO53LY47</t>
  </si>
  <si>
    <t>53% POLY/47% LYCRA</t>
  </si>
  <si>
    <t>PO52LY48</t>
  </si>
  <si>
    <t>52% POLY/48% LYCRA</t>
  </si>
  <si>
    <t>PO51LY49</t>
  </si>
  <si>
    <t>51% POLY/49% LYCRA</t>
  </si>
  <si>
    <t>PO50LY50</t>
  </si>
  <si>
    <t>50% POLY/50% LYCRA</t>
  </si>
  <si>
    <t>MO99NY1</t>
  </si>
  <si>
    <t>99% MODAL/1% NYL</t>
  </si>
  <si>
    <t>MO98NY2</t>
  </si>
  <si>
    <t>98% MODAL/2% NYL</t>
  </si>
  <si>
    <t>MO97NY3</t>
  </si>
  <si>
    <t>97% MODAL/3% NYL</t>
  </si>
  <si>
    <t>MO96NY4</t>
  </si>
  <si>
    <t>96% MODAL/4% NYL</t>
  </si>
  <si>
    <t>MO95NY5</t>
  </si>
  <si>
    <t>95% MODAL/5% NYL</t>
  </si>
  <si>
    <t>MO94NY6</t>
  </si>
  <si>
    <t>94% MODAL/6% NYL</t>
  </si>
  <si>
    <t>MO93NY7</t>
  </si>
  <si>
    <t>93% MODAL/7% NYL</t>
  </si>
  <si>
    <t>MO92NY8</t>
  </si>
  <si>
    <t>92% MODAL/8% NYL</t>
  </si>
  <si>
    <t>MO91NY9</t>
  </si>
  <si>
    <t>91% MODAL/9% NYL</t>
  </si>
  <si>
    <t>MO90NY10</t>
  </si>
  <si>
    <t>90% MODAL/10% NYL</t>
  </si>
  <si>
    <t>MO89NY11</t>
  </si>
  <si>
    <t>89% MODAL/11% NYL</t>
  </si>
  <si>
    <t>MO88NY12</t>
  </si>
  <si>
    <t>88% MODAL/12% NYL</t>
  </si>
  <si>
    <t>MO87NY13</t>
  </si>
  <si>
    <t>87% MODAL/13% NYL</t>
  </si>
  <si>
    <t>MO86NY14</t>
  </si>
  <si>
    <t>86% MODAL/14% NYL</t>
  </si>
  <si>
    <t>MO85NY15</t>
  </si>
  <si>
    <t>85% MODAL/15% NYL</t>
  </si>
  <si>
    <t>MO84NY16</t>
  </si>
  <si>
    <t>84% MODAL/16% NYL</t>
  </si>
  <si>
    <t>MO83NY17</t>
  </si>
  <si>
    <t>83% MODAL/17% NYL</t>
  </si>
  <si>
    <t>MO82NY18</t>
  </si>
  <si>
    <t>82% MODAL/18% NYL</t>
  </si>
  <si>
    <t>MO81NY19</t>
  </si>
  <si>
    <t>81% MODAL/19% NYL</t>
  </si>
  <si>
    <t>MO80NY20</t>
  </si>
  <si>
    <t>80% MODAL/20% NYL</t>
  </si>
  <si>
    <t>MO79NY21</t>
  </si>
  <si>
    <t>79% MODAL/21% NYL</t>
  </si>
  <si>
    <t>MO78NY22</t>
  </si>
  <si>
    <t>78% MODAL/22% NYL</t>
  </si>
  <si>
    <t>MO77NY23</t>
  </si>
  <si>
    <t>77% MODAL/23% NYL</t>
  </si>
  <si>
    <t>MO76NY24</t>
  </si>
  <si>
    <t>76% MODAL/24% NYL</t>
  </si>
  <si>
    <t>MO75NY25</t>
  </si>
  <si>
    <t>75% MODAL/25% NYL</t>
  </si>
  <si>
    <t>MO74NY26</t>
  </si>
  <si>
    <t>74% MODAL/26% NYL</t>
  </si>
  <si>
    <t>MO73NY27</t>
  </si>
  <si>
    <t>73% MODAL/27% NYL</t>
  </si>
  <si>
    <t>MO72NY28</t>
  </si>
  <si>
    <t>72% MODAL/28% NYL</t>
  </si>
  <si>
    <t>MO71NY29</t>
  </si>
  <si>
    <t>71% MODAL/29% NYL</t>
  </si>
  <si>
    <t>MO70NY30</t>
  </si>
  <si>
    <t>70% MODAL/30% NYL</t>
  </si>
  <si>
    <t>MO69NY31</t>
  </si>
  <si>
    <t>69% MODAL/31% NYL</t>
  </si>
  <si>
    <t>MO68NY32</t>
  </si>
  <si>
    <t>68% MODAL/32% NYL</t>
  </si>
  <si>
    <t>MO67NY33</t>
  </si>
  <si>
    <t>67% MODAL/33% NYL</t>
  </si>
  <si>
    <t>MO66NY34</t>
  </si>
  <si>
    <t>66% MODAL/34% NYL</t>
  </si>
  <si>
    <t>MO65NY35</t>
  </si>
  <si>
    <t>65% MODAL/35% NYL</t>
  </si>
  <si>
    <t>MO64NY36</t>
  </si>
  <si>
    <t>64% MODAL/36% NYL</t>
  </si>
  <si>
    <t>MO63NY37</t>
  </si>
  <si>
    <t>63% MODAL/37% NYL</t>
  </si>
  <si>
    <t>MO62NY38</t>
  </si>
  <si>
    <t>62% MODAL/38% NYL</t>
  </si>
  <si>
    <t>MO61NY39</t>
  </si>
  <si>
    <t>61% MODAL/39% NYL</t>
  </si>
  <si>
    <t>MO60NY40</t>
  </si>
  <si>
    <t>60% MODAL/40% NYL</t>
  </si>
  <si>
    <t>MO59NY41</t>
  </si>
  <si>
    <t>59% MODAL/41% NYL</t>
  </si>
  <si>
    <t>MO58NY42</t>
  </si>
  <si>
    <t>58% MODAL/42% NYL</t>
  </si>
  <si>
    <t>MO57NY43</t>
  </si>
  <si>
    <t>57% MODAL/43% NYL</t>
  </si>
  <si>
    <t>MO56NY44</t>
  </si>
  <si>
    <t>56% MODAL/44% NYL</t>
  </si>
  <si>
    <t>MO55NY45</t>
  </si>
  <si>
    <t>55% MODAL/45% NYL</t>
  </si>
  <si>
    <t>MO54NY46</t>
  </si>
  <si>
    <t>54% MODAL/46% NYL</t>
  </si>
  <si>
    <t>MO53NY47</t>
  </si>
  <si>
    <t>53% MODAL/47% NYL</t>
  </si>
  <si>
    <t>MO52NY48</t>
  </si>
  <si>
    <t>52% MODAL/48% NYL</t>
  </si>
  <si>
    <t>MO51NY49</t>
  </si>
  <si>
    <t>51% MODAL/49% NYL</t>
  </si>
  <si>
    <t>MO50NY50</t>
  </si>
  <si>
    <t>50% MODAL/50% NYL</t>
  </si>
  <si>
    <t>RA99CT1</t>
  </si>
  <si>
    <t>99% RAYON/1% CTN</t>
  </si>
  <si>
    <t>RA98CT2</t>
  </si>
  <si>
    <t>98% RAYON/2% CTN</t>
  </si>
  <si>
    <t>RA97CT3</t>
  </si>
  <si>
    <t>97% RAYON/3% CTN</t>
  </si>
  <si>
    <t>RA96CT4</t>
  </si>
  <si>
    <t>96% RAYON/4% CTN</t>
  </si>
  <si>
    <t>RA95CT5</t>
  </si>
  <si>
    <t>95% RAYON/5% CTN</t>
  </si>
  <si>
    <t>RA94CT6</t>
  </si>
  <si>
    <t>94% RAYON/6% CTN</t>
  </si>
  <si>
    <t>RA93CT7</t>
  </si>
  <si>
    <t>93% RAYON/7% CTN</t>
  </si>
  <si>
    <t>RA92CT8</t>
  </si>
  <si>
    <t>92% RAYON/8% CTN</t>
  </si>
  <si>
    <t>RA91CT9</t>
  </si>
  <si>
    <t>91% RAYON/9% CTN</t>
  </si>
  <si>
    <t>RA90CT10</t>
  </si>
  <si>
    <t>90% RAYON/10% CTN</t>
  </si>
  <si>
    <t>RA89CT11</t>
  </si>
  <si>
    <t>89% RAYON/11% CTN</t>
  </si>
  <si>
    <t>RA88CT12</t>
  </si>
  <si>
    <t>88% RAYON/12% CTN</t>
  </si>
  <si>
    <t>RA87CT13</t>
  </si>
  <si>
    <t>87% RAYON/13% CTN</t>
  </si>
  <si>
    <t>RA86CT14</t>
  </si>
  <si>
    <t>86% RAYON/14% CTN</t>
  </si>
  <si>
    <t>RA85CT15</t>
  </si>
  <si>
    <t>85% RAYON/15% CTN</t>
  </si>
  <si>
    <t>RA84CT16</t>
  </si>
  <si>
    <t>84% RAYON/16% CTN</t>
  </si>
  <si>
    <t>RA83CT17</t>
  </si>
  <si>
    <t>83% RAYON/17% CTN</t>
  </si>
  <si>
    <t>RA82CT18</t>
  </si>
  <si>
    <t>82% RAYON/18% CTN</t>
  </si>
  <si>
    <t>RA81CT19</t>
  </si>
  <si>
    <t>81% RAYON/19% CTN</t>
  </si>
  <si>
    <t>RA80CT20</t>
  </si>
  <si>
    <t>80% RAYON/20% CTN</t>
  </si>
  <si>
    <t>RA79CT21</t>
  </si>
  <si>
    <t>79% RAYON/21% CTN</t>
  </si>
  <si>
    <t>RA78CT22</t>
  </si>
  <si>
    <t>78% RAYON/22% CTN</t>
  </si>
  <si>
    <t>RA77CT23</t>
  </si>
  <si>
    <t>77% RAYON/23% CTN</t>
  </si>
  <si>
    <t>RA76CT24</t>
  </si>
  <si>
    <t>76% RAYON/24% CTN</t>
  </si>
  <si>
    <t>RA75CT25</t>
  </si>
  <si>
    <t>75% RAYON/25% CTN</t>
  </si>
  <si>
    <t>RA74CT26</t>
  </si>
  <si>
    <t>74% RAYON/26% CTN</t>
  </si>
  <si>
    <t>RA73CT27</t>
  </si>
  <si>
    <t>73% RAYON/27% CTN</t>
  </si>
  <si>
    <t>RA72CT28</t>
  </si>
  <si>
    <t>72% RAYON/28% CTN</t>
  </si>
  <si>
    <t>RA71CT29</t>
  </si>
  <si>
    <t>71% RAYON/29% CTN</t>
  </si>
  <si>
    <t>RA70CT30</t>
  </si>
  <si>
    <t>70% RAYON/30% CTN</t>
  </si>
  <si>
    <t>RA69CT31</t>
  </si>
  <si>
    <t>69% RAYON/31% CTN</t>
  </si>
  <si>
    <t>RA68CT32</t>
  </si>
  <si>
    <t>68% RAYON/32% CTN</t>
  </si>
  <si>
    <t>RA67CT33</t>
  </si>
  <si>
    <t>67% RAYON/33% CTN</t>
  </si>
  <si>
    <t>RA66CT34</t>
  </si>
  <si>
    <t>66% RAYON/34% CTN</t>
  </si>
  <si>
    <t>RA65CT35</t>
  </si>
  <si>
    <t>65% RAYON/35% CTN</t>
  </si>
  <si>
    <t>RA64CT36</t>
  </si>
  <si>
    <t>64% RAYON/36% CTN</t>
  </si>
  <si>
    <t>RA63CT37</t>
  </si>
  <si>
    <t>63% RAYON/37% CTN</t>
  </si>
  <si>
    <t>RA62CT38</t>
  </si>
  <si>
    <t>62% RAYON/38% CTN</t>
  </si>
  <si>
    <t>RA61CT39</t>
  </si>
  <si>
    <t>61% RAYON/39% CTN</t>
  </si>
  <si>
    <t>RA60CT40</t>
  </si>
  <si>
    <t>60% RAYON/40% CTN</t>
  </si>
  <si>
    <t>RA59CT41</t>
  </si>
  <si>
    <t>59% RAYON/41% CTN</t>
  </si>
  <si>
    <t>RA58CT42</t>
  </si>
  <si>
    <t>58% RAYON/42% CTN</t>
  </si>
  <si>
    <t>RA57CT43</t>
  </si>
  <si>
    <t>57% RAYON/43% CTN</t>
  </si>
  <si>
    <t>RA56CT44</t>
  </si>
  <si>
    <t>56% RAYON/44% CTN</t>
  </si>
  <si>
    <t>RA55CT45</t>
  </si>
  <si>
    <t>55% RAYON/45% CTN</t>
  </si>
  <si>
    <t>RA54CT46</t>
  </si>
  <si>
    <t>54% RAYON/46% CTN</t>
  </si>
  <si>
    <t>RA53CT47</t>
  </si>
  <si>
    <t>53% RAYON/47% CTN</t>
  </si>
  <si>
    <t>RA52CT48</t>
  </si>
  <si>
    <t>52% RAYON/48% CTN</t>
  </si>
  <si>
    <t>RA51CT49</t>
  </si>
  <si>
    <t>51% RAYON/49% CTN</t>
  </si>
  <si>
    <t>RA50CT50</t>
  </si>
  <si>
    <t>50% RAYON/50% CTN</t>
  </si>
  <si>
    <t>NY99PO1</t>
  </si>
  <si>
    <t>99% NYL/1% POLY</t>
  </si>
  <si>
    <t>NY98PO2</t>
  </si>
  <si>
    <t>98% NYL/2% POLY</t>
  </si>
  <si>
    <t>NY97PO3</t>
  </si>
  <si>
    <t>97% NYL/3% POLY</t>
  </si>
  <si>
    <t>NY96PO4</t>
  </si>
  <si>
    <t>96% NYL/4% POLY</t>
  </si>
  <si>
    <t>NY95PO5</t>
  </si>
  <si>
    <t>95% NYL/5% POLY</t>
  </si>
  <si>
    <t>NY94PO6</t>
  </si>
  <si>
    <t>94% NYL/6% POLY</t>
  </si>
  <si>
    <t>NY93PO7</t>
  </si>
  <si>
    <t>93% NYL/7% POLY</t>
  </si>
  <si>
    <t>NY92PO8</t>
  </si>
  <si>
    <t>92% NYL/8% POLY</t>
  </si>
  <si>
    <t>NY91PO9</t>
  </si>
  <si>
    <t>91% NYL/9% POLY</t>
  </si>
  <si>
    <t>NY90PO10</t>
  </si>
  <si>
    <t>90% NYL/10% POLY</t>
  </si>
  <si>
    <t>NY89PO11</t>
  </si>
  <si>
    <t>89% NYL/11% POLY</t>
  </si>
  <si>
    <t>NY88PO12</t>
  </si>
  <si>
    <t>88% NYL/12% POLY</t>
  </si>
  <si>
    <t>NY87PO13</t>
  </si>
  <si>
    <t>87% NYL/13% POLY</t>
  </si>
  <si>
    <t>NY86PO14</t>
  </si>
  <si>
    <t>86% NYL/14% POLY</t>
  </si>
  <si>
    <t>NY85PO15</t>
  </si>
  <si>
    <t>85% NYL/15% POLY</t>
  </si>
  <si>
    <t>NY84PO16</t>
  </si>
  <si>
    <t>84% NYL/16% POLY</t>
  </si>
  <si>
    <t>NY83PO17</t>
  </si>
  <si>
    <t>83% NYL/17% POLY</t>
  </si>
  <si>
    <t>NY82PO18</t>
  </si>
  <si>
    <t>82% NYL/18% POLY</t>
  </si>
  <si>
    <t>NY81PO19</t>
  </si>
  <si>
    <t>81% NYL/19% POLY</t>
  </si>
  <si>
    <t>NY80PO20</t>
  </si>
  <si>
    <t>80% NYL/20% POLY</t>
  </si>
  <si>
    <t>NY79PO21</t>
  </si>
  <si>
    <t>79% NYL/21% POLY</t>
  </si>
  <si>
    <t>NY78PO22</t>
  </si>
  <si>
    <t>78% NYL/22% POLY</t>
  </si>
  <si>
    <t>NY77PO23</t>
  </si>
  <si>
    <t>77% NYL/23% POLY</t>
  </si>
  <si>
    <t>NY76PO24</t>
  </si>
  <si>
    <t>76% NYL/24% POLY</t>
  </si>
  <si>
    <t>NY75PO25</t>
  </si>
  <si>
    <t>75% NYL/25% POLY</t>
  </si>
  <si>
    <t>NY74PO26</t>
  </si>
  <si>
    <t>74% NYL/26% POLY</t>
  </si>
  <si>
    <t>NY73PO27</t>
  </si>
  <si>
    <t>73% NYL/27% POLY</t>
  </si>
  <si>
    <t>NY72PO28</t>
  </si>
  <si>
    <t>72% NYL/28% POLY</t>
  </si>
  <si>
    <t>NY71PO29</t>
  </si>
  <si>
    <t>71% NYL/29% POLY</t>
  </si>
  <si>
    <t>NY70PO30</t>
  </si>
  <si>
    <t>70% NYL/30% POLY</t>
  </si>
  <si>
    <t>NY69PO31</t>
  </si>
  <si>
    <t>69% NYL/31% POLY</t>
  </si>
  <si>
    <t>NY68PO32</t>
  </si>
  <si>
    <t>68% NYL/32% POLY</t>
  </si>
  <si>
    <t>NY67PO33</t>
  </si>
  <si>
    <t>67% NYL/33% POLY</t>
  </si>
  <si>
    <t>NY66PO34</t>
  </si>
  <si>
    <t>66% NYL/34% POLY</t>
  </si>
  <si>
    <t>NY65PO35</t>
  </si>
  <si>
    <t>65% NYL/35% POLY</t>
  </si>
  <si>
    <t>NY64PO36</t>
  </si>
  <si>
    <t>64% NYL/36% POLY</t>
  </si>
  <si>
    <t>NY63PO37</t>
  </si>
  <si>
    <t>63% NYL/37% POLY</t>
  </si>
  <si>
    <t>NY62PO38</t>
  </si>
  <si>
    <t>62% NYL/38% POLY</t>
  </si>
  <si>
    <t>NY61PO39</t>
  </si>
  <si>
    <t>61% NYL/39% POLY</t>
  </si>
  <si>
    <t>NY60PO40</t>
  </si>
  <si>
    <t>60% NYL/40% POLY</t>
  </si>
  <si>
    <t>NY59PO41</t>
  </si>
  <si>
    <t>59% NYL/41% POLY</t>
  </si>
  <si>
    <t>NY58PO42</t>
  </si>
  <si>
    <t>58% NYL/42% POLY</t>
  </si>
  <si>
    <t>NY57PO43</t>
  </si>
  <si>
    <t>57% NYL/43% POLY</t>
  </si>
  <si>
    <t>NY56PO44</t>
  </si>
  <si>
    <t>56% NYL/44% POLY</t>
  </si>
  <si>
    <t>NY55PO45</t>
  </si>
  <si>
    <t>55% NYL/45% POLY</t>
  </si>
  <si>
    <t>NY54PO46</t>
  </si>
  <si>
    <t>54% NYL/46% POLY</t>
  </si>
  <si>
    <t>NY53PO47</t>
  </si>
  <si>
    <t>53% NYL/47% POLY</t>
  </si>
  <si>
    <t>NY52PO48</t>
  </si>
  <si>
    <t>52% NYL/48% POLY</t>
  </si>
  <si>
    <t>NY51PO49</t>
  </si>
  <si>
    <t>51% NYL/49% POLY</t>
  </si>
  <si>
    <t>NY50PO50</t>
  </si>
  <si>
    <t>50% NYL/50% POLY</t>
  </si>
  <si>
    <t>CT99RA1</t>
  </si>
  <si>
    <t>99% CTN/1% RAYON</t>
  </si>
  <si>
    <t>CT98RA2</t>
  </si>
  <si>
    <t>98% CTN/2% RAYON</t>
  </si>
  <si>
    <t>CT97RA3</t>
  </si>
  <si>
    <t>97% CTN/3% RAYON</t>
  </si>
  <si>
    <t>CT96RA4</t>
  </si>
  <si>
    <t>96% CTN/4% RAYON</t>
  </si>
  <si>
    <t>CT95RA5</t>
  </si>
  <si>
    <t>95% CTN/5% RAYON</t>
  </si>
  <si>
    <t>CT94RA6</t>
  </si>
  <si>
    <t>94% CTN/6% RAYON</t>
  </si>
  <si>
    <t>CT93RA7</t>
  </si>
  <si>
    <t>93% CTN/7% RAYON</t>
  </si>
  <si>
    <t>CT92RA8</t>
  </si>
  <si>
    <t>92% CTN/8% RAYON</t>
  </si>
  <si>
    <t>CT91RA9</t>
  </si>
  <si>
    <t>91% CTN/9% RAYON</t>
  </si>
  <si>
    <t>CT90RA10</t>
  </si>
  <si>
    <t>90% CTN/10% RAYON</t>
  </si>
  <si>
    <t>CT89RA11</t>
  </si>
  <si>
    <t>89% CTN/11% RAYON</t>
  </si>
  <si>
    <t>CT88RA12</t>
  </si>
  <si>
    <t>88% CTN/12% RAYON</t>
  </si>
  <si>
    <t>CT87RA13</t>
  </si>
  <si>
    <t>87% CTN/13% RAYON</t>
  </si>
  <si>
    <t>CT86RA14</t>
  </si>
  <si>
    <t>86% CTN/14% RAYON</t>
  </si>
  <si>
    <t>CT85RA15</t>
  </si>
  <si>
    <t>85% CTN/15% RAYON</t>
  </si>
  <si>
    <t>CT84RA16</t>
  </si>
  <si>
    <t>84% CTN/16% RAYON</t>
  </si>
  <si>
    <t>CT83RA17</t>
  </si>
  <si>
    <t>83% CTN/17% RAYON</t>
  </si>
  <si>
    <t>CT82RA18</t>
  </si>
  <si>
    <t>82% CTN/18% RAYON</t>
  </si>
  <si>
    <t>CT81RA19</t>
  </si>
  <si>
    <t>81% CTN/19% RAYON</t>
  </si>
  <si>
    <t>CT80RA20</t>
  </si>
  <si>
    <t>80% CTN/20% RAYON</t>
  </si>
  <si>
    <t>CT79RA21</t>
  </si>
  <si>
    <t>79% CTN/21% RAYON</t>
  </si>
  <si>
    <t>CT78RA22</t>
  </si>
  <si>
    <t>78% CTN/22% RAYON</t>
  </si>
  <si>
    <t>CT77RA23</t>
  </si>
  <si>
    <t>77% CTN/23% RAYON</t>
  </si>
  <si>
    <t>CT76RA24</t>
  </si>
  <si>
    <t>76% CTN/24% RAYON</t>
  </si>
  <si>
    <t>CT75RA25</t>
  </si>
  <si>
    <t>75% CTN/25% RAYON</t>
  </si>
  <si>
    <t>CT74RA26</t>
  </si>
  <si>
    <t>74% CTN/26% RAYON</t>
  </si>
  <si>
    <t>CT73RA27</t>
  </si>
  <si>
    <t>73% CTN/27% RAYON</t>
  </si>
  <si>
    <t>CT72RA28</t>
  </si>
  <si>
    <t>72% CTN/28% RAYON</t>
  </si>
  <si>
    <t>CT71RA29</t>
  </si>
  <si>
    <t>71% CTN/29% RAYON</t>
  </si>
  <si>
    <t>CT70RA30</t>
  </si>
  <si>
    <t>70% CTN/30% RAYON</t>
  </si>
  <si>
    <t>CT69RA31</t>
  </si>
  <si>
    <t>69% CTN/31% RAYON</t>
  </si>
  <si>
    <t>CT68RA32</t>
  </si>
  <si>
    <t>68% CTN/32% RAYON</t>
  </si>
  <si>
    <t>CT67RA33</t>
  </si>
  <si>
    <t>67% CTN/33% RAYON</t>
  </si>
  <si>
    <t>CT66RA34</t>
  </si>
  <si>
    <t>66% CTN/34% RAYON</t>
  </si>
  <si>
    <t>CT65RA35</t>
  </si>
  <si>
    <t>65% CTN/35% RAYON</t>
  </si>
  <si>
    <t>CT64RA36</t>
  </si>
  <si>
    <t>64% CTN/36% RAYON</t>
  </si>
  <si>
    <t>CT63RA37</t>
  </si>
  <si>
    <t>63% CTN/37% RAYON</t>
  </si>
  <si>
    <t>CT62RA38</t>
  </si>
  <si>
    <t>62% CTN/38% RAYON</t>
  </si>
  <si>
    <t>CT61RA39</t>
  </si>
  <si>
    <t>61% CTN/39% RAYON</t>
  </si>
  <si>
    <t>CT60RA40</t>
  </si>
  <si>
    <t>60% CTN/40% RAYON</t>
  </si>
  <si>
    <t>CT59RA41</t>
  </si>
  <si>
    <t>59% CTN/41% RAYON</t>
  </si>
  <si>
    <t>CT58RA42</t>
  </si>
  <si>
    <t>58% CTN/42% RAYON</t>
  </si>
  <si>
    <t>CT57RA43</t>
  </si>
  <si>
    <t>57% CTN/43% RAYON</t>
  </si>
  <si>
    <t>CT56RA44</t>
  </si>
  <si>
    <t>56% CTN/44% RAYON</t>
  </si>
  <si>
    <t>CT55RA45</t>
  </si>
  <si>
    <t>55% CTN/45% RAYON</t>
  </si>
  <si>
    <t>CT54RA46</t>
  </si>
  <si>
    <t>54% CTN/46% RAYON</t>
  </si>
  <si>
    <t>CT53RA47</t>
  </si>
  <si>
    <t>53% CTN/47% RAYON</t>
  </si>
  <si>
    <t>CT52RA48</t>
  </si>
  <si>
    <t>52% CTN/48% RAYON</t>
  </si>
  <si>
    <t>CT51RA49</t>
  </si>
  <si>
    <t>51% CTN/49% RAYON</t>
  </si>
  <si>
    <t>CT50RA50</t>
  </si>
  <si>
    <t>50% CTN/50% RAYON</t>
  </si>
  <si>
    <t>PO99NY1</t>
  </si>
  <si>
    <t>99% POLY/1% NYL</t>
  </si>
  <si>
    <t>PO98NY2</t>
  </si>
  <si>
    <t>98% POLY/2% NYL</t>
  </si>
  <si>
    <t>PO97NY3</t>
  </si>
  <si>
    <t>97% POLY/3% NYL</t>
  </si>
  <si>
    <t>PO96NY4</t>
  </si>
  <si>
    <t>96% POLY/4% NYL</t>
  </si>
  <si>
    <t>PO95NY5</t>
  </si>
  <si>
    <t>95% POLY/5% NYL</t>
  </si>
  <si>
    <t>PO94NY6</t>
  </si>
  <si>
    <t>94% POLY/6% NYL</t>
  </si>
  <si>
    <t>PO93NY7</t>
  </si>
  <si>
    <t>93% POLY/7% NYL</t>
  </si>
  <si>
    <t>PO92NY8</t>
  </si>
  <si>
    <t>92% POLY/8% NYL</t>
  </si>
  <si>
    <t>PO91NY9</t>
  </si>
  <si>
    <t>91% POLY/9% NYL</t>
  </si>
  <si>
    <t>PO90NY10</t>
  </si>
  <si>
    <t>90% POLY/10% NYL</t>
  </si>
  <si>
    <t>PO89NY11</t>
  </si>
  <si>
    <t>89% POLY/11% NYL</t>
  </si>
  <si>
    <t>PO88NY12</t>
  </si>
  <si>
    <t>88% POLY/12% NYL</t>
  </si>
  <si>
    <t>PO87NY13</t>
  </si>
  <si>
    <t>87% POLY/13% NYL</t>
  </si>
  <si>
    <t>PO86NY14</t>
  </si>
  <si>
    <t>86% POLY/14% NYL</t>
  </si>
  <si>
    <t>PO85NY15</t>
  </si>
  <si>
    <t>85% POLY/15% NYL</t>
  </si>
  <si>
    <t>PO84NY16</t>
  </si>
  <si>
    <t>84% POLY/16% NYL</t>
  </si>
  <si>
    <t>PO83NY17</t>
  </si>
  <si>
    <t>83% POLY/17% NYL</t>
  </si>
  <si>
    <t>PO82NY18</t>
  </si>
  <si>
    <t>82% POLY/18% NYL</t>
  </si>
  <si>
    <t>PO81NY19</t>
  </si>
  <si>
    <t>81% POLY/19% NYL</t>
  </si>
  <si>
    <t>PO80NY20</t>
  </si>
  <si>
    <t>80% POLY/20% NYL</t>
  </si>
  <si>
    <t>PO79NY21</t>
  </si>
  <si>
    <t>79% POLY/21% NYL</t>
  </si>
  <si>
    <t>PO78NY22</t>
  </si>
  <si>
    <t>78% POLY/22% NYL</t>
  </si>
  <si>
    <t>PO77NY23</t>
  </si>
  <si>
    <t>77% POLY/23% NYL</t>
  </si>
  <si>
    <t>PO76NY24</t>
  </si>
  <si>
    <t>76% POLY/24% NYL</t>
  </si>
  <si>
    <t>PO75NY25</t>
  </si>
  <si>
    <t>75% POLY/25% NYL</t>
  </si>
  <si>
    <t>PO74NY26</t>
  </si>
  <si>
    <t>74% POLY/26% NYL</t>
  </si>
  <si>
    <t>PO73NY27</t>
  </si>
  <si>
    <t>73% POLY/27% NYL</t>
  </si>
  <si>
    <t>PO72NY28</t>
  </si>
  <si>
    <t>72% POLY/28% NYL</t>
  </si>
  <si>
    <t>PO71NY29</t>
  </si>
  <si>
    <t>71% POLY/29% NYL</t>
  </si>
  <si>
    <t>PO70NY30</t>
  </si>
  <si>
    <t>70% POLY/30% NYL</t>
  </si>
  <si>
    <t>PO69NY31</t>
  </si>
  <si>
    <t>69% POLY/31% NYL</t>
  </si>
  <si>
    <t>PO68NY32</t>
  </si>
  <si>
    <t>68% POLY/32% NYL</t>
  </si>
  <si>
    <t>PO67NY33</t>
  </si>
  <si>
    <t>67% POLY/33% NYL</t>
  </si>
  <si>
    <t>PO66NY34</t>
  </si>
  <si>
    <t>66% POLY/34% NYL</t>
  </si>
  <si>
    <t>PO65NY35</t>
  </si>
  <si>
    <t>65% POLY/35% NYL</t>
  </si>
  <si>
    <t>PO64NY36</t>
  </si>
  <si>
    <t>64% POLY/36% NYL</t>
  </si>
  <si>
    <t>PO63NY37</t>
  </si>
  <si>
    <t>63% POLY/37% NYL</t>
  </si>
  <si>
    <t>PO62NY38</t>
  </si>
  <si>
    <t>62% POLY/38% NYL</t>
  </si>
  <si>
    <t>PO61NY39</t>
  </si>
  <si>
    <t>61% POLY/39% NYL</t>
  </si>
  <si>
    <t>PO60NY40</t>
  </si>
  <si>
    <t>60% POLY/40% NYL</t>
  </si>
  <si>
    <t>PO59NY41</t>
  </si>
  <si>
    <t>59% POLY/41% NYL</t>
  </si>
  <si>
    <t>PO58NY42</t>
  </si>
  <si>
    <t>58% POLY/42% NYL</t>
  </si>
  <si>
    <t>PO57NY43</t>
  </si>
  <si>
    <t>57% POLY/43% NYL</t>
  </si>
  <si>
    <t>PO56NY44</t>
  </si>
  <si>
    <t>56% POLY/44% NYL</t>
  </si>
  <si>
    <t>PO55NY45</t>
  </si>
  <si>
    <t>55% POLY/45% NYL</t>
  </si>
  <si>
    <t>PO54NY46</t>
  </si>
  <si>
    <t>54% POLY/46% NYL</t>
  </si>
  <si>
    <t>PO53NY47</t>
  </si>
  <si>
    <t>53% POLY/47% NYL</t>
  </si>
  <si>
    <t>PO52NY48</t>
  </si>
  <si>
    <t>52% POLY/48% NYL</t>
  </si>
  <si>
    <t>PO51NY49</t>
  </si>
  <si>
    <t>51% POLY/49% NYL</t>
  </si>
  <si>
    <t>PO50NY50</t>
  </si>
  <si>
    <t>50% POLY/50% NYL</t>
  </si>
  <si>
    <t>MO99CT1</t>
  </si>
  <si>
    <t>99% MODAL/1% CTN</t>
  </si>
  <si>
    <t>MO98CT2</t>
  </si>
  <si>
    <t>98% MODAL/2% CTN</t>
  </si>
  <si>
    <t>MO97CT3</t>
  </si>
  <si>
    <t>97% MODAL/3% CTN</t>
  </si>
  <si>
    <t>MO96CT4</t>
  </si>
  <si>
    <t>96% MODAL/4% CTN</t>
  </si>
  <si>
    <t>MO95CT5</t>
  </si>
  <si>
    <t>95% MODAL/5% CTN</t>
  </si>
  <si>
    <t>MO94CT6</t>
  </si>
  <si>
    <t>94% MODAL/6% CTN</t>
  </si>
  <si>
    <t>MO93CT7</t>
  </si>
  <si>
    <t>93% MODAL/7% CTN</t>
  </si>
  <si>
    <t>MO92CT8</t>
  </si>
  <si>
    <t>92% MODAL/8% CTN</t>
  </si>
  <si>
    <t>MO91CT9</t>
  </si>
  <si>
    <t>91% MODAL/9% CTN</t>
  </si>
  <si>
    <t>MO90CT10</t>
  </si>
  <si>
    <t>90% MODAL/10% CTN</t>
  </si>
  <si>
    <t>MO89CT11</t>
  </si>
  <si>
    <t>89% MODAL/11% CTN</t>
  </si>
  <si>
    <t>MO88CT12</t>
  </si>
  <si>
    <t>88% MODAL/12% CTN</t>
  </si>
  <si>
    <t>MO87CT13</t>
  </si>
  <si>
    <t>87% MODAL/13% CTN</t>
  </si>
  <si>
    <t>MO86CT14</t>
  </si>
  <si>
    <t>86% MODAL/14% CTN</t>
  </si>
  <si>
    <t>MO85CT15</t>
  </si>
  <si>
    <t>85% MODAL/15% CTN</t>
  </si>
  <si>
    <t>MO84CT16</t>
  </si>
  <si>
    <t>84% MODAL/16% CTN</t>
  </si>
  <si>
    <t>MO83CT17</t>
  </si>
  <si>
    <t>83% MODAL/17% CTN</t>
  </si>
  <si>
    <t>MO82CT18</t>
  </si>
  <si>
    <t>82% MODAL/18% CTN</t>
  </si>
  <si>
    <t>MO81CT19</t>
  </si>
  <si>
    <t>81% MODAL/19% CTN</t>
  </si>
  <si>
    <t>MO80CT20</t>
  </si>
  <si>
    <t>80% MODAL/20% CTN</t>
  </si>
  <si>
    <t>MO79CT21</t>
  </si>
  <si>
    <t>79% MODAL/21% CTN</t>
  </si>
  <si>
    <t>MO78CT22</t>
  </si>
  <si>
    <t>78% MODAL/22% CTN</t>
  </si>
  <si>
    <t>MO77CT23</t>
  </si>
  <si>
    <t>77% MODAL/23% CTN</t>
  </si>
  <si>
    <t>MO76CT24</t>
  </si>
  <si>
    <t>76% MODAL/24% CTN</t>
  </si>
  <si>
    <t>MO75CT25</t>
  </si>
  <si>
    <t>75% MODAL/25% CTN</t>
  </si>
  <si>
    <t>MO74CT26</t>
  </si>
  <si>
    <t>74% MODAL/26% CTN</t>
  </si>
  <si>
    <t>MO73CT27</t>
  </si>
  <si>
    <t>73% MODAL/27% CTN</t>
  </si>
  <si>
    <t>MO72CT28</t>
  </si>
  <si>
    <t>72% MODAL/28% CTN</t>
  </si>
  <si>
    <t>MO71CT29</t>
  </si>
  <si>
    <t>71% MODAL/29% CTN</t>
  </si>
  <si>
    <t>MO70CT30</t>
  </si>
  <si>
    <t>70% MODAL/30% CTN</t>
  </si>
  <si>
    <t>MO69CT31</t>
  </si>
  <si>
    <t>69% MODAL/31% CTN</t>
  </si>
  <si>
    <t>MO68CT32</t>
  </si>
  <si>
    <t>68% MODAL/32% CTN</t>
  </si>
  <si>
    <t>MO67CT33</t>
  </si>
  <si>
    <t>67% MODAL/33% CTN</t>
  </si>
  <si>
    <t>MO66CT34</t>
  </si>
  <si>
    <t>66% MODAL/34% CTN</t>
  </si>
  <si>
    <t>MO65CT35</t>
  </si>
  <si>
    <t>65% MODAL/35% CTN</t>
  </si>
  <si>
    <t>MO64CT36</t>
  </si>
  <si>
    <t>64% MODAL/36% CTN</t>
  </si>
  <si>
    <t>MO63CT37</t>
  </si>
  <si>
    <t>63% MODAL/37% CTN</t>
  </si>
  <si>
    <t>MO62CT38</t>
  </si>
  <si>
    <t>62% MODAL/38% CTN</t>
  </si>
  <si>
    <t>MO61CT39</t>
  </si>
  <si>
    <t>61% MODAL/39% CTN</t>
  </si>
  <si>
    <t>MO60CT40</t>
  </si>
  <si>
    <t>60% MODAL/40% CTN</t>
  </si>
  <si>
    <t>MO59CT41</t>
  </si>
  <si>
    <t>59% MODAL/41% CTN</t>
  </si>
  <si>
    <t>MO58CT42</t>
  </si>
  <si>
    <t>58% MODAL/42% CTN</t>
  </si>
  <si>
    <t>MO57CT43</t>
  </si>
  <si>
    <t>57% MODAL/43% CTN</t>
  </si>
  <si>
    <t>MO56CT44</t>
  </si>
  <si>
    <t>56% MODAL/44% CTN</t>
  </si>
  <si>
    <t>MO55CT45</t>
  </si>
  <si>
    <t>55% MODAL/45% CTN</t>
  </si>
  <si>
    <t>MO54CT46</t>
  </si>
  <si>
    <t>54% MODAL/46% CTN</t>
  </si>
  <si>
    <t>MO53CT47</t>
  </si>
  <si>
    <t>53% MODAL/47% CTN</t>
  </si>
  <si>
    <t>MO52CT48</t>
  </si>
  <si>
    <t>52% MODAL/48% CTN</t>
  </si>
  <si>
    <t>MO51CT49</t>
  </si>
  <si>
    <t>51% MODAL/49% CTN</t>
  </si>
  <si>
    <t>MO50CT50</t>
  </si>
  <si>
    <t>50% MODAL/50% CTN</t>
  </si>
  <si>
    <t>RA99SP1</t>
  </si>
  <si>
    <t>99% RAYON/1% SPNDX</t>
  </si>
  <si>
    <t>RA98SP2</t>
  </si>
  <si>
    <t>98% RAYON/2% SPNDX</t>
  </si>
  <si>
    <t>RA97SP3</t>
  </si>
  <si>
    <t>97% RAYON/3% SPNDX</t>
  </si>
  <si>
    <t>RA96SP4</t>
  </si>
  <si>
    <t>96% RAYON/4% SPNDX</t>
  </si>
  <si>
    <t>RA95SP5</t>
  </si>
  <si>
    <t>95% RAYON/5% SPNDX</t>
  </si>
  <si>
    <t>RA94SP6</t>
  </si>
  <si>
    <t>94% RAYON/6% SPNDX</t>
  </si>
  <si>
    <t>RA93SP7</t>
  </si>
  <si>
    <t>93% RAYON/7% SPNDX</t>
  </si>
  <si>
    <t>RA92SP8</t>
  </si>
  <si>
    <t>92% RAYON/8% SPNDX</t>
  </si>
  <si>
    <t>RA91SP9</t>
  </si>
  <si>
    <t>91% RAYON/9% SPNDX</t>
  </si>
  <si>
    <t>RA90SP10</t>
  </si>
  <si>
    <t>90% RAYON/10% SPNDX</t>
  </si>
  <si>
    <t>RA89SP11</t>
  </si>
  <si>
    <t>89% RAYON/11% SPNDX</t>
  </si>
  <si>
    <t>RA88SP12</t>
  </si>
  <si>
    <t>88% RAYON/12% SPNDX</t>
  </si>
  <si>
    <t>RA87SP13</t>
  </si>
  <si>
    <t>87% RAYON/13% SPNDX</t>
  </si>
  <si>
    <t>RA86SP14</t>
  </si>
  <si>
    <t>86% RAYON/14% SPNDX</t>
  </si>
  <si>
    <t>RA85SP15</t>
  </si>
  <si>
    <t>85% RAYON/15% SPNDX</t>
  </si>
  <si>
    <t>RA84SP16</t>
  </si>
  <si>
    <t>84% RAYON/16% SPNDX</t>
  </si>
  <si>
    <t>RA83SP17</t>
  </si>
  <si>
    <t>83% RAYON/17% SPNDX</t>
  </si>
  <si>
    <t>RA82SP18</t>
  </si>
  <si>
    <t>82% RAYON/18% SPNDX</t>
  </si>
  <si>
    <t>RA81SP19</t>
  </si>
  <si>
    <t>81% RAYON/19% SPNDX</t>
  </si>
  <si>
    <t>RA80SP20</t>
  </si>
  <si>
    <t>80% RAYON/20% SPNDX</t>
  </si>
  <si>
    <t>RA79SP21</t>
  </si>
  <si>
    <t>79% RAYON/21% SPNDX</t>
  </si>
  <si>
    <t>RA78SP22</t>
  </si>
  <si>
    <t>78% RAYON/22% SPNDX</t>
  </si>
  <si>
    <t>RA77SP23</t>
  </si>
  <si>
    <t>77% RAYON/23% SPNDX</t>
  </si>
  <si>
    <t>RA76SP24</t>
  </si>
  <si>
    <t>76% RAYON/24% SPNDX</t>
  </si>
  <si>
    <t>RA75SP25</t>
  </si>
  <si>
    <t>75% RAYON/25% SPNDX</t>
  </si>
  <si>
    <t>RA74SP26</t>
  </si>
  <si>
    <t>74% RAYON/26% SPNDX</t>
  </si>
  <si>
    <t>RA73SP27</t>
  </si>
  <si>
    <t>73% RAYON/27% SPNDX</t>
  </si>
  <si>
    <t>RA72SP28</t>
  </si>
  <si>
    <t>72% RAYON/28% SPNDX</t>
  </si>
  <si>
    <t>RA71SP29</t>
  </si>
  <si>
    <t>71% RAYON/29% SPNDX</t>
  </si>
  <si>
    <t>RA70SP30</t>
  </si>
  <si>
    <t>70% RAYON/30% SPNDX</t>
  </si>
  <si>
    <t>RA69SP31</t>
  </si>
  <si>
    <t>69% RAYON/31% SPNDX</t>
  </si>
  <si>
    <t>RA68SP32</t>
  </si>
  <si>
    <t>68% RAYON/32% SPNDX</t>
  </si>
  <si>
    <t>RA67SP33</t>
  </si>
  <si>
    <t>67% RAYON/33% SPNDX</t>
  </si>
  <si>
    <t>RA66SP34</t>
  </si>
  <si>
    <t>66% RAYON/34% SPNDX</t>
  </si>
  <si>
    <t>RA65SP35</t>
  </si>
  <si>
    <t>65% RAYON/35% SPNDX</t>
  </si>
  <si>
    <t>RA64SP36</t>
  </si>
  <si>
    <t>64% RAYON/36% SPNDX</t>
  </si>
  <si>
    <t>RA63SP37</t>
  </si>
  <si>
    <t>63% RAYON/37% SPNDX</t>
  </si>
  <si>
    <t>RA62SP38</t>
  </si>
  <si>
    <t>62% RAYON/38% SPNDX</t>
  </si>
  <si>
    <t>RA61SP39</t>
  </si>
  <si>
    <t>61% RAYON/39% SPNDX</t>
  </si>
  <si>
    <t>RA60SP40</t>
  </si>
  <si>
    <t>60% RAYON/40% SPNDX</t>
  </si>
  <si>
    <t>RA59SP41</t>
  </si>
  <si>
    <t>59% RAYON/41% SPNDX</t>
  </si>
  <si>
    <t>RA58SP42</t>
  </si>
  <si>
    <t>58% RAYON/42% SPNDX</t>
  </si>
  <si>
    <t>RA57SP43</t>
  </si>
  <si>
    <t>57% RAYON/43% SPNDX</t>
  </si>
  <si>
    <t>RA56SP44</t>
  </si>
  <si>
    <t>56% RAYON/44% SPNDX</t>
  </si>
  <si>
    <t>RA55SP45</t>
  </si>
  <si>
    <t>55% RAYON/45% SPNDX</t>
  </si>
  <si>
    <t>RA54SP46</t>
  </si>
  <si>
    <t>54% RAYON/46% SPNDX</t>
  </si>
  <si>
    <t>RA53SP47</t>
  </si>
  <si>
    <t>53% RAYON/47% SPNDX</t>
  </si>
  <si>
    <t>RA52SP48</t>
  </si>
  <si>
    <t>52% RAYON/48% SPNDX</t>
  </si>
  <si>
    <t>RA51SP49</t>
  </si>
  <si>
    <t>51% RAYON/49% SPNDX</t>
  </si>
  <si>
    <t>RA50SP50</t>
  </si>
  <si>
    <t>50% RAYON/50% SPNDX</t>
  </si>
  <si>
    <t>NY99MO1</t>
  </si>
  <si>
    <t>99% NYL/1% MODAL</t>
  </si>
  <si>
    <t>NY98MO2</t>
  </si>
  <si>
    <t>98% NYL/2% MODAL</t>
  </si>
  <si>
    <t>NY97MO3</t>
  </si>
  <si>
    <t>97% NYL/3% MODAL</t>
  </si>
  <si>
    <t>NY96MO4</t>
  </si>
  <si>
    <t>96% NYL/4% MODAL</t>
  </si>
  <si>
    <t>NY95MO5</t>
  </si>
  <si>
    <t>95% NYL/5% MODAL</t>
  </si>
  <si>
    <t>NY94MO6</t>
  </si>
  <si>
    <t>94% NYL/6% MODAL</t>
  </si>
  <si>
    <t>NY93MO7</t>
  </si>
  <si>
    <t>93% NYL/7% MODAL</t>
  </si>
  <si>
    <t>NY92MO8</t>
  </si>
  <si>
    <t>92% NYL/8% MODAL</t>
  </si>
  <si>
    <t>NY91MO9</t>
  </si>
  <si>
    <t>91% NYL/9% MODAL</t>
  </si>
  <si>
    <t>NY90MO10</t>
  </si>
  <si>
    <t>90% NYL/10% MODAL</t>
  </si>
  <si>
    <t>NY89MO11</t>
  </si>
  <si>
    <t>89% NYL/11% MODAL</t>
  </si>
  <si>
    <t>NY88MO12</t>
  </si>
  <si>
    <t>88% NYL/12% MODAL</t>
  </si>
  <si>
    <t>NY87MO13</t>
  </si>
  <si>
    <t>87% NYL/13% MODAL</t>
  </si>
  <si>
    <t>NY86MO14</t>
  </si>
  <si>
    <t>86% NYL/14% MODAL</t>
  </si>
  <si>
    <t>NY85MO15</t>
  </si>
  <si>
    <t>85% NYL/15% MODAL</t>
  </si>
  <si>
    <t>NY84MO16</t>
  </si>
  <si>
    <t>84% NYL/16% MODAL</t>
  </si>
  <si>
    <t>NY83MO17</t>
  </si>
  <si>
    <t>83% NYL/17% MODAL</t>
  </si>
  <si>
    <t>NY82MO18</t>
  </si>
  <si>
    <t>82% NYL/18% MODAL</t>
  </si>
  <si>
    <t>NY81MO19</t>
  </si>
  <si>
    <t>81% NYL/19% MODAL</t>
  </si>
  <si>
    <t>NY80MO20</t>
  </si>
  <si>
    <t>80% NYL/20% MODAL</t>
  </si>
  <si>
    <t>NY79MO21</t>
  </si>
  <si>
    <t>79% NYL/21% MODAL</t>
  </si>
  <si>
    <t>NY78MO22</t>
  </si>
  <si>
    <t>78% NYL/22% MODAL</t>
  </si>
  <si>
    <t>NY77MO23</t>
  </si>
  <si>
    <t>77% NYL/23% MODAL</t>
  </si>
  <si>
    <t>NY76MO24</t>
  </si>
  <si>
    <t>76% NYL/24% MODAL</t>
  </si>
  <si>
    <t>NY75MO25</t>
  </si>
  <si>
    <t>75% NYL/25% MODAL</t>
  </si>
  <si>
    <t>NY74MO26</t>
  </si>
  <si>
    <t>74% NYL/26% MODAL</t>
  </si>
  <si>
    <t>NY73MO27</t>
  </si>
  <si>
    <t>73% NYL/27% MODAL</t>
  </si>
  <si>
    <t>NY72MO28</t>
  </si>
  <si>
    <t>72% NYL/28% MODAL</t>
  </si>
  <si>
    <t>NY71MO29</t>
  </si>
  <si>
    <t>71% NYL/29% MODAL</t>
  </si>
  <si>
    <t>NY70MO30</t>
  </si>
  <si>
    <t>70% NYL/30% MODAL</t>
  </si>
  <si>
    <t>NY69MO31</t>
  </si>
  <si>
    <t>69% NYL/31% MODAL</t>
  </si>
  <si>
    <t>NY68MO32</t>
  </si>
  <si>
    <t>68% NYL/32% MODAL</t>
  </si>
  <si>
    <t>NY67MO33</t>
  </si>
  <si>
    <t>67% NYL/33% MODAL</t>
  </si>
  <si>
    <t>NY66MO34</t>
  </si>
  <si>
    <t>66% NYL/34% MODAL</t>
  </si>
  <si>
    <t>NY65MO35</t>
  </si>
  <si>
    <t>65% NYL/35% MODAL</t>
  </si>
  <si>
    <t>NY64MO36</t>
  </si>
  <si>
    <t>64% NYL/36% MODAL</t>
  </si>
  <si>
    <t>NY63MO37</t>
  </si>
  <si>
    <t>63% NYL/37% MODAL</t>
  </si>
  <si>
    <t>NY62MO38</t>
  </si>
  <si>
    <t>62% NYL/38% MODAL</t>
  </si>
  <si>
    <t>NY61MO39</t>
  </si>
  <si>
    <t>61% NYL/39% MODAL</t>
  </si>
  <si>
    <t>NY60MO40</t>
  </si>
  <si>
    <t>60% NYL/40% MODAL</t>
  </si>
  <si>
    <t>NY59MO41</t>
  </si>
  <si>
    <t>59% NYL/41% MODAL</t>
  </si>
  <si>
    <t>NY58MO42</t>
  </si>
  <si>
    <t>58% NYL/42% MODAL</t>
  </si>
  <si>
    <t>NY57MO43</t>
  </si>
  <si>
    <t>57% NYL/43% MODAL</t>
  </si>
  <si>
    <t>NY56MO44</t>
  </si>
  <si>
    <t>56% NYL/44% MODAL</t>
  </si>
  <si>
    <t>NY55MO45</t>
  </si>
  <si>
    <t>55% NYL/45% MODAL</t>
  </si>
  <si>
    <t>NY54MO46</t>
  </si>
  <si>
    <t>54% NYL/46% MODAL</t>
  </si>
  <si>
    <t>NY53MO47</t>
  </si>
  <si>
    <t>53% NYL/47% MODAL</t>
  </si>
  <si>
    <t>NY52MO48</t>
  </si>
  <si>
    <t>52% NYL/48% MODAL</t>
  </si>
  <si>
    <t>NY51MO49</t>
  </si>
  <si>
    <t>51% NYL/49% MODAL</t>
  </si>
  <si>
    <t>NY50MO50</t>
  </si>
  <si>
    <t>50% NYL/50% MODAL</t>
  </si>
  <si>
    <t>CT99LY1</t>
  </si>
  <si>
    <t>99% CTN/1% LYCRA</t>
  </si>
  <si>
    <t>CT98LY2</t>
  </si>
  <si>
    <t>98% CTN/2% LYCRA</t>
  </si>
  <si>
    <t>CT97LY3</t>
  </si>
  <si>
    <t>97% CTN/3% LYCRA</t>
  </si>
  <si>
    <t>CT96LY4</t>
  </si>
  <si>
    <t>96% CTN/4% LYCRA</t>
  </si>
  <si>
    <t>CT95LY5</t>
  </si>
  <si>
    <t>95% CTN/5% LYCRA</t>
  </si>
  <si>
    <t>CT94LY6</t>
  </si>
  <si>
    <t>94% CTN/6% LYCRA</t>
  </si>
  <si>
    <t>CT93LY7</t>
  </si>
  <si>
    <t>93% CTN/7% LYCRA</t>
  </si>
  <si>
    <t>CT92LY8</t>
  </si>
  <si>
    <t>92% CTN/8% LYCRA</t>
  </si>
  <si>
    <t>CT91LY9</t>
  </si>
  <si>
    <t>91% CTN/9% LYCRA</t>
  </si>
  <si>
    <t>CT90LY10</t>
  </si>
  <si>
    <t>90% CTN/10% LYCRA</t>
  </si>
  <si>
    <t>CT89LY11</t>
  </si>
  <si>
    <t>89% CTN/11% LYCRA</t>
  </si>
  <si>
    <t>CT88LY12</t>
  </si>
  <si>
    <t>88% CTN/12% LYCRA</t>
  </si>
  <si>
    <t>CT87LY13</t>
  </si>
  <si>
    <t>87% CTN/13% LYCRA</t>
  </si>
  <si>
    <t>CT86LY14</t>
  </si>
  <si>
    <t>86% CTN/14% LYCRA</t>
  </si>
  <si>
    <t>CT85LY15</t>
  </si>
  <si>
    <t>85% CTN/15% LYCRA</t>
  </si>
  <si>
    <t>CT84LY16</t>
  </si>
  <si>
    <t>84% CTN/16% LYCRA</t>
  </si>
  <si>
    <t>CT83LY17</t>
  </si>
  <si>
    <t>83% CTN/17% LYCRA</t>
  </si>
  <si>
    <t>CT82LY18</t>
  </si>
  <si>
    <t>82% CTN/18% LYCRA</t>
  </si>
  <si>
    <t>CT81LY19</t>
  </si>
  <si>
    <t>81% CTN/19% LYCRA</t>
  </si>
  <si>
    <t>CT80LY20</t>
  </si>
  <si>
    <t>80% CTN/20% LYCRA</t>
  </si>
  <si>
    <t>CT79LY21</t>
  </si>
  <si>
    <t>79% CTN/21% LYCRA</t>
  </si>
  <si>
    <t>CT78LY22</t>
  </si>
  <si>
    <t>78% CTN/22% LYCRA</t>
  </si>
  <si>
    <t>CT77LY23</t>
  </si>
  <si>
    <t>77% CTN/23% LYCRA</t>
  </si>
  <si>
    <t>CT76LY24</t>
  </si>
  <si>
    <t>76% CTN/24% LYCRA</t>
  </si>
  <si>
    <t>CT75LY25</t>
  </si>
  <si>
    <t>75% CTN/25% LYCRA</t>
  </si>
  <si>
    <t>CT74LY26</t>
  </si>
  <si>
    <t>74% CTN/26% LYCRA</t>
  </si>
  <si>
    <t>CT73LY27</t>
  </si>
  <si>
    <t>73% CTN/27% LYCRA</t>
  </si>
  <si>
    <t>CT72LY28</t>
  </si>
  <si>
    <t>72% CTN/28% LYCRA</t>
  </si>
  <si>
    <t>CT71LY29</t>
  </si>
  <si>
    <t>71% CTN/29% LYCRA</t>
  </si>
  <si>
    <t>CT70LY30</t>
  </si>
  <si>
    <t>70% CTN/30% LYCRA</t>
  </si>
  <si>
    <t>CT69LY31</t>
  </si>
  <si>
    <t>69% CTN/31% LYCRA</t>
  </si>
  <si>
    <t>CT68LY32</t>
  </si>
  <si>
    <t>68% CTN/32% LYCRA</t>
  </si>
  <si>
    <t>CT67LY33</t>
  </si>
  <si>
    <t>67% CTN/33% LYCRA</t>
  </si>
  <si>
    <t>CT66LY34</t>
  </si>
  <si>
    <t>66% CTN/34% LYCRA</t>
  </si>
  <si>
    <t>CT65LY35</t>
  </si>
  <si>
    <t>65% CTN/35% LYCRA</t>
  </si>
  <si>
    <t>CT64LY36</t>
  </si>
  <si>
    <t>64% CTN/36% LYCRA</t>
  </si>
  <si>
    <t>CT63LY37</t>
  </si>
  <si>
    <t>63% CTN/37% LYCRA</t>
  </si>
  <si>
    <t>CT62LY38</t>
  </si>
  <si>
    <t>62% CTN/38% LYCRA</t>
  </si>
  <si>
    <t>CT61LY39</t>
  </si>
  <si>
    <t>61% CTN/39% LYCRA</t>
  </si>
  <si>
    <t>CT60LY40</t>
  </si>
  <si>
    <t>60% CTN/40% LYCRA</t>
  </si>
  <si>
    <t>CT59LY41</t>
  </si>
  <si>
    <t>59% CTN/41% LYCRA</t>
  </si>
  <si>
    <t>CT58LY42</t>
  </si>
  <si>
    <t>58% CTN/42% LYCRA</t>
  </si>
  <si>
    <t>CT57LY43</t>
  </si>
  <si>
    <t>57% CTN/43% LYCRA</t>
  </si>
  <si>
    <t>CT56LY44</t>
  </si>
  <si>
    <t>56% CTN/44% LYCRA</t>
  </si>
  <si>
    <t>CT55LY45</t>
  </si>
  <si>
    <t>55% CTN/45% LYCRA</t>
  </si>
  <si>
    <t>CT54LY46</t>
  </si>
  <si>
    <t>54% CTN/46% LYCRA</t>
  </si>
  <si>
    <t>CT53LY47</t>
  </si>
  <si>
    <t>53% CTN/47% LYCRA</t>
  </si>
  <si>
    <t>CT52LY48</t>
  </si>
  <si>
    <t>52% CTN/48% LYCRA</t>
  </si>
  <si>
    <t>CT51LY49</t>
  </si>
  <si>
    <t>51% CTN/49% LYCRA</t>
  </si>
  <si>
    <t>CT50LY50</t>
  </si>
  <si>
    <t>50% CTN/50% LYCRA</t>
  </si>
  <si>
    <t>PO99CT1</t>
  </si>
  <si>
    <t>99% POLY/1% CTN</t>
  </si>
  <si>
    <t>PO98CT2</t>
  </si>
  <si>
    <t>98% POLY/2% CTN</t>
  </si>
  <si>
    <t>PO97CT3</t>
  </si>
  <si>
    <t>97% POLY/3% CTN</t>
  </si>
  <si>
    <t>PO96CT4</t>
  </si>
  <si>
    <t>96% POLY/4% CTN</t>
  </si>
  <si>
    <t>PO95CT5</t>
  </si>
  <si>
    <t>95% POLY/5% CTN</t>
  </si>
  <si>
    <t>PO94CT6</t>
  </si>
  <si>
    <t>94% POLY/6% CTN</t>
  </si>
  <si>
    <t>PO93CT7</t>
  </si>
  <si>
    <t>93% POLY/7% CTN</t>
  </si>
  <si>
    <t>PO92CT8</t>
  </si>
  <si>
    <t>92% POLY/8% CTN</t>
  </si>
  <si>
    <t>PO91CT9</t>
  </si>
  <si>
    <t>91% POLY/9% CTN</t>
  </si>
  <si>
    <t>PO90CT10</t>
  </si>
  <si>
    <t>90% POLY/10% CTN</t>
  </si>
  <si>
    <t>PO89CT11</t>
  </si>
  <si>
    <t>89% POLY/11% CTN</t>
  </si>
  <si>
    <t>PO88CT12</t>
  </si>
  <si>
    <t>88% POLY/12% CTN</t>
  </si>
  <si>
    <t>PO87CT13</t>
  </si>
  <si>
    <t>87% POLY/13% CTN</t>
  </si>
  <si>
    <t>PO86CT14</t>
  </si>
  <si>
    <t>86% POLY/14% CTN</t>
  </si>
  <si>
    <t>PO85CT15</t>
  </si>
  <si>
    <t>85% POLY/15% CTN</t>
  </si>
  <si>
    <t>PO84CT16</t>
  </si>
  <si>
    <t>84% POLY/16% CTN</t>
  </si>
  <si>
    <t>PO83CT17</t>
  </si>
  <si>
    <t>83% POLY/17% CTN</t>
  </si>
  <si>
    <t>PO82CT18</t>
  </si>
  <si>
    <t>82% POLY/18% CTN</t>
  </si>
  <si>
    <t>PO81CT19</t>
  </si>
  <si>
    <t>81% POLY/19% CTN</t>
  </si>
  <si>
    <t>PO80CT20</t>
  </si>
  <si>
    <t>80% POLY/20% CTN</t>
  </si>
  <si>
    <t>PO79CT21</t>
  </si>
  <si>
    <t>79% POLY/21% CTN</t>
  </si>
  <si>
    <t>PO78CT22</t>
  </si>
  <si>
    <t>78% POLY/22% CTN</t>
  </si>
  <si>
    <t>PO77CT23</t>
  </si>
  <si>
    <t>77% POLY/23% CTN</t>
  </si>
  <si>
    <t>PO76CT24</t>
  </si>
  <si>
    <t>76% POLY/24% CTN</t>
  </si>
  <si>
    <t>PO75CT25</t>
  </si>
  <si>
    <t>75% POLY/25% CTN</t>
  </si>
  <si>
    <t>PO74CT26</t>
  </si>
  <si>
    <t>74% POLY/26% CTN</t>
  </si>
  <si>
    <t>PO73CT27</t>
  </si>
  <si>
    <t>73% POLY/27% CTN</t>
  </si>
  <si>
    <t>PO72CT28</t>
  </si>
  <si>
    <t>72% POLY/28% CTN</t>
  </si>
  <si>
    <t>PO71CT29</t>
  </si>
  <si>
    <t>71% POLY/29% CTN</t>
  </si>
  <si>
    <t>PO70CT30</t>
  </si>
  <si>
    <t>70% POLY/30% CTN</t>
  </si>
  <si>
    <t>PO69CT31</t>
  </si>
  <si>
    <t>69% POLY/31% CTN</t>
  </si>
  <si>
    <t>PO68CT32</t>
  </si>
  <si>
    <t>68% POLY/32% CTN</t>
  </si>
  <si>
    <t>PO67CT33</t>
  </si>
  <si>
    <t>67% POLY/33% CTN</t>
  </si>
  <si>
    <t>PO66CT34</t>
  </si>
  <si>
    <t>66% POLY/34% CTN</t>
  </si>
  <si>
    <t>PO65CT35</t>
  </si>
  <si>
    <t>65% POLY/35% CTN</t>
  </si>
  <si>
    <t>PO64CT36</t>
  </si>
  <si>
    <t>64% POLY/36% CTN</t>
  </si>
  <si>
    <t>PO63CT37</t>
  </si>
  <si>
    <t>63% POLY/37% CTN</t>
  </si>
  <si>
    <t>PO62CT38</t>
  </si>
  <si>
    <t>62% POLY/38% CTN</t>
  </si>
  <si>
    <t>PO61CT39</t>
  </si>
  <si>
    <t>61% POLY/39% CTN</t>
  </si>
  <si>
    <t>PO60CT40</t>
  </si>
  <si>
    <t>60% POLY/40% CTN</t>
  </si>
  <si>
    <t>PO59CT41</t>
  </si>
  <si>
    <t>59% POLY/41% CTN</t>
  </si>
  <si>
    <t>PO58CT42</t>
  </si>
  <si>
    <t>58% POLY/42% CTN</t>
  </si>
  <si>
    <t>PO57CT43</t>
  </si>
  <si>
    <t>57% POLY/43% CTN</t>
  </si>
  <si>
    <t>PO56CT44</t>
  </si>
  <si>
    <t>56% POLY/44% CTN</t>
  </si>
  <si>
    <t>PO55CT45</t>
  </si>
  <si>
    <t>55% POLY/45% CTN</t>
  </si>
  <si>
    <t>PO54CT46</t>
  </si>
  <si>
    <t>54% POLY/46% CTN</t>
  </si>
  <si>
    <t>PO53CT47</t>
  </si>
  <si>
    <t>53% POLY/47% CTN</t>
  </si>
  <si>
    <t>PO52CT48</t>
  </si>
  <si>
    <t>52% POLY/48% CTN</t>
  </si>
  <si>
    <t>PO51CT49</t>
  </si>
  <si>
    <t>51% POLY/49% CTN</t>
  </si>
  <si>
    <t>PO50CT50</t>
  </si>
  <si>
    <t>50% POLY/50% CTN</t>
  </si>
  <si>
    <t>MO99SP1</t>
  </si>
  <si>
    <t>99% MODAL/1% SPNDX</t>
  </si>
  <si>
    <t>MO98SP2</t>
  </si>
  <si>
    <t>98% MODAL/2% SPNDX</t>
  </si>
  <si>
    <t>MO97SP3</t>
  </si>
  <si>
    <t>97% MODAL/3% SPNDX</t>
  </si>
  <si>
    <t>MO96SP4</t>
  </si>
  <si>
    <t>96% MODAL/4% SPNDX</t>
  </si>
  <si>
    <t>MO95SP5</t>
  </si>
  <si>
    <t>95% MODAL/5% SPNDX</t>
  </si>
  <si>
    <t>MO94SP6</t>
  </si>
  <si>
    <t>94% MODAL/6% SPNDX</t>
  </si>
  <si>
    <t>MO93SP7</t>
  </si>
  <si>
    <t>93% MODAL/7% SPNDX</t>
  </si>
  <si>
    <t>MO92SP8</t>
  </si>
  <si>
    <t>92% MODAL/8% SPNDX</t>
  </si>
  <si>
    <t>MO91SP9</t>
  </si>
  <si>
    <t>91% MODAL/9% SPNDX</t>
  </si>
  <si>
    <t>MO90SP10</t>
  </si>
  <si>
    <t>90% MODAL/10% SPNDX</t>
  </si>
  <si>
    <t>MO89SP11</t>
  </si>
  <si>
    <t>89% MODAL/11% SPNDX</t>
  </si>
  <si>
    <t>MO88SP12</t>
  </si>
  <si>
    <t>88% MODAL/12% SPNDX</t>
  </si>
  <si>
    <t>MO87SP13</t>
  </si>
  <si>
    <t>87% MODAL/13% SPNDX</t>
  </si>
  <si>
    <t>MO86SP14</t>
  </si>
  <si>
    <t>86% MODAL/14% SPNDX</t>
  </si>
  <si>
    <t>MO85SP15</t>
  </si>
  <si>
    <t>85% MODAL/15% SPNDX</t>
  </si>
  <si>
    <t>MO84SP16</t>
  </si>
  <si>
    <t>84% MODAL/16% SPNDX</t>
  </si>
  <si>
    <t>MO83SP17</t>
  </si>
  <si>
    <t>83% MODAL/17% SPNDX</t>
  </si>
  <si>
    <t>MO82SP18</t>
  </si>
  <si>
    <t>82% MODAL/18% SPNDX</t>
  </si>
  <si>
    <t>MO81SP19</t>
  </si>
  <si>
    <t>81% MODAL/19% SPNDX</t>
  </si>
  <si>
    <t>MO80SP20</t>
  </si>
  <si>
    <t>80% MODAL/20% SPNDX</t>
  </si>
  <si>
    <t>MO79SP21</t>
  </si>
  <si>
    <t>79% MODAL/21% SPNDX</t>
  </si>
  <si>
    <t>MO78SP22</t>
  </si>
  <si>
    <t>78% MODAL/22% SPNDX</t>
  </si>
  <si>
    <t>MO77SP23</t>
  </si>
  <si>
    <t>77% MODAL/23% SPNDX</t>
  </si>
  <si>
    <t>MO76SP24</t>
  </si>
  <si>
    <t>76% MODAL/24% SPNDX</t>
  </si>
  <si>
    <t>MO75SP25</t>
  </si>
  <si>
    <t>75% MODAL/25% SPNDX</t>
  </si>
  <si>
    <t>MO74SP26</t>
  </si>
  <si>
    <t>74% MODAL/26% SPNDX</t>
  </si>
  <si>
    <t>MO73SP27</t>
  </si>
  <si>
    <t>73% MODAL/27% SPNDX</t>
  </si>
  <si>
    <t>MO72SP28</t>
  </si>
  <si>
    <t>72% MODAL/28% SPNDX</t>
  </si>
  <si>
    <t>MO71SP29</t>
  </si>
  <si>
    <t>71% MODAL/29% SPNDX</t>
  </si>
  <si>
    <t>MO70SP30</t>
  </si>
  <si>
    <t>70% MODAL/30% SPNDX</t>
  </si>
  <si>
    <t>MO69SP31</t>
  </si>
  <si>
    <t>69% MODAL/31% SPNDX</t>
  </si>
  <si>
    <t>MO68SP32</t>
  </si>
  <si>
    <t>68% MODAL/32% SPNDX</t>
  </si>
  <si>
    <t>MO67SP33</t>
  </si>
  <si>
    <t>67% MODAL/33% SPNDX</t>
  </si>
  <si>
    <t>MO66SP34</t>
  </si>
  <si>
    <t>66% MODAL/34% SPNDX</t>
  </si>
  <si>
    <t>MO65SP35</t>
  </si>
  <si>
    <t>65% MODAL/35% SPNDX</t>
  </si>
  <si>
    <t>MO64SP36</t>
  </si>
  <si>
    <t>64% MODAL/36% SPNDX</t>
  </si>
  <si>
    <t>MO63SP37</t>
  </si>
  <si>
    <t>63% MODAL/37% SPNDX</t>
  </si>
  <si>
    <t>MO62SP38</t>
  </si>
  <si>
    <t>62% MODAL/38% SPNDX</t>
  </si>
  <si>
    <t>MO61SP39</t>
  </si>
  <si>
    <t>61% MODAL/39% SPNDX</t>
  </si>
  <si>
    <t>MO60SP40</t>
  </si>
  <si>
    <t>60% MODAL/40% SPNDX</t>
  </si>
  <si>
    <t>MO59SP41</t>
  </si>
  <si>
    <t>59% MODAL/41% SPNDX</t>
  </si>
  <si>
    <t>MO58SP42</t>
  </si>
  <si>
    <t>58% MODAL/42% SPNDX</t>
  </si>
  <si>
    <t>MO57SP43</t>
  </si>
  <si>
    <t>57% MODAL/43% SPNDX</t>
  </si>
  <si>
    <t>MO56SP44</t>
  </si>
  <si>
    <t>56% MODAL/44% SPNDX</t>
  </si>
  <si>
    <t>MO55SP45</t>
  </si>
  <si>
    <t>55% MODAL/45% SPNDX</t>
  </si>
  <si>
    <t>MO54SP46</t>
  </si>
  <si>
    <t>54% MODAL/46% SPNDX</t>
  </si>
  <si>
    <t>MO53SP47</t>
  </si>
  <si>
    <t>53% MODAL/47% SPNDX</t>
  </si>
  <si>
    <t>MO52SP48</t>
  </si>
  <si>
    <t>52% MODAL/48% SPNDX</t>
  </si>
  <si>
    <t>MO51SP49</t>
  </si>
  <si>
    <t>51% MODAL/49% SPNDX</t>
  </si>
  <si>
    <t>MO50SP50</t>
  </si>
  <si>
    <t>50% MODAL/50% SPNDX</t>
  </si>
  <si>
    <t>RA99PO1</t>
  </si>
  <si>
    <t>99% RAYON/1% POLY</t>
  </si>
  <si>
    <t>RA98PO2</t>
  </si>
  <si>
    <t>98% RAYON/2% POLY</t>
  </si>
  <si>
    <t>RA97PO3</t>
  </si>
  <si>
    <t>97% RAYON/3% POLY</t>
  </si>
  <si>
    <t>RA96PO4</t>
  </si>
  <si>
    <t>96% RAYON/4% POLY</t>
  </si>
  <si>
    <t>RA95PO5</t>
  </si>
  <si>
    <t>95% RAYON/5% POLY</t>
  </si>
  <si>
    <t>RA94PO6</t>
  </si>
  <si>
    <t>94% RAYON/6% POLY</t>
  </si>
  <si>
    <t>RA93PO7</t>
  </si>
  <si>
    <t>93% RAYON/7% POLY</t>
  </si>
  <si>
    <t>RA92PO8</t>
  </si>
  <si>
    <t>92% RAYON/8% POLY</t>
  </si>
  <si>
    <t>RA91PO9</t>
  </si>
  <si>
    <t>91% RAYON/9% POLY</t>
  </si>
  <si>
    <t>RA90PO10</t>
  </si>
  <si>
    <t>90% RAYON/10% POLY</t>
  </si>
  <si>
    <t>RA89PO11</t>
  </si>
  <si>
    <t>89% RAYON/11% POLY</t>
  </si>
  <si>
    <t>RA88PO12</t>
  </si>
  <si>
    <t>88% RAYON/12% POLY</t>
  </si>
  <si>
    <t>RA87PO13</t>
  </si>
  <si>
    <t>87% RAYON/13% POLY</t>
  </si>
  <si>
    <t>RA86PO14</t>
  </si>
  <si>
    <t>86% RAYON/14% POLY</t>
  </si>
  <si>
    <t>RA85PO15</t>
  </si>
  <si>
    <t>85% RAYON/15% POLY</t>
  </si>
  <si>
    <t>RA84PO16</t>
  </si>
  <si>
    <t>84% RAYON/16% POLY</t>
  </si>
  <si>
    <t>RA83PO17</t>
  </si>
  <si>
    <t>83% RAYON/17% POLY</t>
  </si>
  <si>
    <t>RA82PO18</t>
  </si>
  <si>
    <t>82% RAYON/18% POLY</t>
  </si>
  <si>
    <t>RA81PO19</t>
  </si>
  <si>
    <t>81% RAYON/19% POLY</t>
  </si>
  <si>
    <t>RA80PO20</t>
  </si>
  <si>
    <t>80% RAYON/20% POLY</t>
  </si>
  <si>
    <t>RA79PO21</t>
  </si>
  <si>
    <t>79% RAYON/21% POLY</t>
  </si>
  <si>
    <t>RA78PO22</t>
  </si>
  <si>
    <t>78% RAYON/22% POLY</t>
  </si>
  <si>
    <t>RA77PO23</t>
  </si>
  <si>
    <t>77% RAYON/23% POLY</t>
  </si>
  <si>
    <t>RA76PO24</t>
  </si>
  <si>
    <t>76% RAYON/24% POLY</t>
  </si>
  <si>
    <t>RA75PO25</t>
  </si>
  <si>
    <t>75% RAYON/25% POLY</t>
  </si>
  <si>
    <t>RA74PO26</t>
  </si>
  <si>
    <t>74% RAYON/26% POLY</t>
  </si>
  <si>
    <t>RA73PO27</t>
  </si>
  <si>
    <t>73% RAYON/27% POLY</t>
  </si>
  <si>
    <t>RA72PO28</t>
  </si>
  <si>
    <t>72% RAYON/28% POLY</t>
  </si>
  <si>
    <t>RA71PO29</t>
  </si>
  <si>
    <t>71% RAYON/29% POLY</t>
  </si>
  <si>
    <t>RA70PO30</t>
  </si>
  <si>
    <t>70% RAYON/30% POLY</t>
  </si>
  <si>
    <t>RA69PO31</t>
  </si>
  <si>
    <t>69% RAYON/31% POLY</t>
  </si>
  <si>
    <t>RA68PO32</t>
  </si>
  <si>
    <t>68% RAYON/32% POLY</t>
  </si>
  <si>
    <t>RA67PO33</t>
  </si>
  <si>
    <t>67% RAYON/33% POLY</t>
  </si>
  <si>
    <t>RA66PO34</t>
  </si>
  <si>
    <t>66% RAYON/34% POLY</t>
  </si>
  <si>
    <t>RA65PO35</t>
  </si>
  <si>
    <t>65% RAYON/35% POLY</t>
  </si>
  <si>
    <t>RA64PO36</t>
  </si>
  <si>
    <t>64% RAYON/36% POLY</t>
  </si>
  <si>
    <t>RA63PO37</t>
  </si>
  <si>
    <t>63% RAYON/37% POLY</t>
  </si>
  <si>
    <t>RA62PO38</t>
  </si>
  <si>
    <t>62% RAYON/38% POLY</t>
  </si>
  <si>
    <t>RA61PO39</t>
  </si>
  <si>
    <t>61% RAYON/39% POLY</t>
  </si>
  <si>
    <t>RA60PO40</t>
  </si>
  <si>
    <t>60% RAYON/40% POLY</t>
  </si>
  <si>
    <t>RA59PO41</t>
  </si>
  <si>
    <t>59% RAYON/41% POLY</t>
  </si>
  <si>
    <t>RA58PO42</t>
  </si>
  <si>
    <t>58% RAYON/42% POLY</t>
  </si>
  <si>
    <t>RA57PO43</t>
  </si>
  <si>
    <t>57% RAYON/43% POLY</t>
  </si>
  <si>
    <t>RA56PO44</t>
  </si>
  <si>
    <t>56% RAYON/44% POLY</t>
  </si>
  <si>
    <t>RA55PO45</t>
  </si>
  <si>
    <t>55% RAYON/45% POLY</t>
  </si>
  <si>
    <t>RA54PO46</t>
  </si>
  <si>
    <t>54% RAYON/46% POLY</t>
  </si>
  <si>
    <t>RA53PO47</t>
  </si>
  <si>
    <t>53% RAYON/47% POLY</t>
  </si>
  <si>
    <t>RA52PO48</t>
  </si>
  <si>
    <t>52% RAYON/48% POLY</t>
  </si>
  <si>
    <t>RA51PO49</t>
  </si>
  <si>
    <t>51% RAYON/49% POLY</t>
  </si>
  <si>
    <t>RA50PO50</t>
  </si>
  <si>
    <t>50% RAYON/50% POLY</t>
  </si>
  <si>
    <t>NY99RA1</t>
  </si>
  <si>
    <t>99% NYL/1% RAYON</t>
  </si>
  <si>
    <t>NY98RA2</t>
  </si>
  <si>
    <t>98% NYL/2% RAYON</t>
  </si>
  <si>
    <t>NY97RA3</t>
  </si>
  <si>
    <t>97% NYL/3% RAYON</t>
  </si>
  <si>
    <t>NY96RA4</t>
  </si>
  <si>
    <t>96% NYL/4% RAYON</t>
  </si>
  <si>
    <t>NY95RA5</t>
  </si>
  <si>
    <t>95% NYL/5% RAYON</t>
  </si>
  <si>
    <t>NY94RA6</t>
  </si>
  <si>
    <t>94% NYL/6% RAYON</t>
  </si>
  <si>
    <t>NY93RA7</t>
  </si>
  <si>
    <t>93% NYL/7% RAYON</t>
  </si>
  <si>
    <t>NY92RA8</t>
  </si>
  <si>
    <t>92% NYL/8% RAYON</t>
  </si>
  <si>
    <t>NY91RA9</t>
  </si>
  <si>
    <t>91% NYL/9% RAYON</t>
  </si>
  <si>
    <t>NY90RA10</t>
  </si>
  <si>
    <t>90% NYL/10% RAYON</t>
  </si>
  <si>
    <t>NY89RA11</t>
  </si>
  <si>
    <t>89% NYL/11% RAYON</t>
  </si>
  <si>
    <t>NY88RA12</t>
  </si>
  <si>
    <t>88% NYL/12% RAYON</t>
  </si>
  <si>
    <t>NY87RA13</t>
  </si>
  <si>
    <t>87% NYL/13% RAYON</t>
  </si>
  <si>
    <t>NY86RA14</t>
  </si>
  <si>
    <t>86% NYL/14% RAYON</t>
  </si>
  <si>
    <t>NY85RA15</t>
  </si>
  <si>
    <t>85% NYL/15% RAYON</t>
  </si>
  <si>
    <t>NY84RA16</t>
  </si>
  <si>
    <t>84% NYL/16% RAYON</t>
  </si>
  <si>
    <t>NY83RA17</t>
  </si>
  <si>
    <t>83% NYL/17% RAYON</t>
  </si>
  <si>
    <t>NY82RA18</t>
  </si>
  <si>
    <t>82% NYL/18% RAYON</t>
  </si>
  <si>
    <t>NY81RA19</t>
  </si>
  <si>
    <t>81% NYL/19% RAYON</t>
  </si>
  <si>
    <t>NY80RA20</t>
  </si>
  <si>
    <t>80% NYL/20% RAYON</t>
  </si>
  <si>
    <t>NY79RA21</t>
  </si>
  <si>
    <t>79% NYL/21% RAYON</t>
  </si>
  <si>
    <t>NY78RA22</t>
  </si>
  <si>
    <t>78% NYL/22% RAYON</t>
  </si>
  <si>
    <t>NY77RA23</t>
  </si>
  <si>
    <t>77% NYL/23% RAYON</t>
  </si>
  <si>
    <t>NY76RA24</t>
  </si>
  <si>
    <t>76% NYL/24% RAYON</t>
  </si>
  <si>
    <t>NY75RA25</t>
  </si>
  <si>
    <t>75% NYL/25% RAYON</t>
  </si>
  <si>
    <t>NY74RA26</t>
  </si>
  <si>
    <t>74% NYL/26% RAYON</t>
  </si>
  <si>
    <t>NY73RA27</t>
  </si>
  <si>
    <t>73% NYL/27% RAYON</t>
  </si>
  <si>
    <t>NY72RA28</t>
  </si>
  <si>
    <t>72% NYL/28% RAYON</t>
  </si>
  <si>
    <t>NY71RA29</t>
  </si>
  <si>
    <t>71% NYL/29% RAYON</t>
  </si>
  <si>
    <t>NY70RA30</t>
  </si>
  <si>
    <t>70% NYL/30% RAYON</t>
  </si>
  <si>
    <t>NY69RA31</t>
  </si>
  <si>
    <t>69% NYL/31% RAYON</t>
  </si>
  <si>
    <t>NY68RA32</t>
  </si>
  <si>
    <t>68% NYL/32% RAYON</t>
  </si>
  <si>
    <t>NY67RA33</t>
  </si>
  <si>
    <t>67% NYL/33% RAYON</t>
  </si>
  <si>
    <t>NY66RA34</t>
  </si>
  <si>
    <t>66% NYL/34% RAYON</t>
  </si>
  <si>
    <t>NY65RA35</t>
  </si>
  <si>
    <t>65% NYL/35% RAYON</t>
  </si>
  <si>
    <t>NY64RA36</t>
  </si>
  <si>
    <t>64% NYL/36% RAYON</t>
  </si>
  <si>
    <t>NY63RA37</t>
  </si>
  <si>
    <t>63% NYL/37% RAYON</t>
  </si>
  <si>
    <t>NY62RA38</t>
  </si>
  <si>
    <t>62% NYL/38% RAYON</t>
  </si>
  <si>
    <t>NY61RA39</t>
  </si>
  <si>
    <t>61% NYL/39% RAYON</t>
  </si>
  <si>
    <t>NY60RA40</t>
  </si>
  <si>
    <t>60% NYL/40% RAYON</t>
  </si>
  <si>
    <t>NY59RA41</t>
  </si>
  <si>
    <t>59% NYL/41% RAYON</t>
  </si>
  <si>
    <t>NY58RA42</t>
  </si>
  <si>
    <t>58% NYL/42% RAYON</t>
  </si>
  <si>
    <t>NY57RA43</t>
  </si>
  <si>
    <t>57% NYL/43% RAYON</t>
  </si>
  <si>
    <t>NY56RA44</t>
  </si>
  <si>
    <t>56% NYL/44% RAYON</t>
  </si>
  <si>
    <t>NY55RA45</t>
  </si>
  <si>
    <t>55% NYL/45% RAYON</t>
  </si>
  <si>
    <t>NY54RA46</t>
  </si>
  <si>
    <t>54% NYL/46% RAYON</t>
  </si>
  <si>
    <t>NY53RA47</t>
  </si>
  <si>
    <t>53% NYL/47% RAYON</t>
  </si>
  <si>
    <t>NY52RA48</t>
  </si>
  <si>
    <t>52% NYL/48% RAYON</t>
  </si>
  <si>
    <t>NY51RA49</t>
  </si>
  <si>
    <t>51% NYL/49% RAYON</t>
  </si>
  <si>
    <t>NY50RA50</t>
  </si>
  <si>
    <t>50% NYL/50% RAYON</t>
  </si>
  <si>
    <t>CT99NY1</t>
  </si>
  <si>
    <t>99% CTN/1% NYL</t>
  </si>
  <si>
    <t>CT98NY2</t>
  </si>
  <si>
    <t>98% CTN/2% NYL</t>
  </si>
  <si>
    <t>CT97NY3</t>
  </si>
  <si>
    <t>97% CTN/3% NYL</t>
  </si>
  <si>
    <t>CT96NY4</t>
  </si>
  <si>
    <t>96% CTN/4% NYL</t>
  </si>
  <si>
    <t>CT95NY5</t>
  </si>
  <si>
    <t>95% CTN/5% NYL</t>
  </si>
  <si>
    <t>CT94NY6</t>
  </si>
  <si>
    <t>94% CTN/6% NYL</t>
  </si>
  <si>
    <t>CT93NY7</t>
  </si>
  <si>
    <t>93% CTN/7% NYL</t>
  </si>
  <si>
    <t>CT92NY8</t>
  </si>
  <si>
    <t>92% CTN/8% NYL</t>
  </si>
  <si>
    <t>CT91NY9</t>
  </si>
  <si>
    <t>91% CTN/9% NYL</t>
  </si>
  <si>
    <t>CT90NY10</t>
  </si>
  <si>
    <t>90% CTN/10% NYL</t>
  </si>
  <si>
    <t>CT89NY11</t>
  </si>
  <si>
    <t>89% CTN/11% NYL</t>
  </si>
  <si>
    <t>CT88NY12</t>
  </si>
  <si>
    <t>88% CTN/12% NYL</t>
  </si>
  <si>
    <t>CT87NY13</t>
  </si>
  <si>
    <t>87% CTN/13% NYL</t>
  </si>
  <si>
    <t>CT86NY14</t>
  </si>
  <si>
    <t>86% CTN/14% NYL</t>
  </si>
  <si>
    <t>CT85NY15</t>
  </si>
  <si>
    <t>85% CTN/15% NYL</t>
  </si>
  <si>
    <t>CT84NY16</t>
  </si>
  <si>
    <t>84% CTN/16% NYL</t>
  </si>
  <si>
    <t>CT83NY17</t>
  </si>
  <si>
    <t>83% CTN/17% NYL</t>
  </si>
  <si>
    <t>CT82NY18</t>
  </si>
  <si>
    <t>82% CTN/18% NYL</t>
  </si>
  <si>
    <t>CT81NY19</t>
  </si>
  <si>
    <t>81% CTN/19% NYL</t>
  </si>
  <si>
    <t>CT80NY20</t>
  </si>
  <si>
    <t>80% CTN/20% NYL</t>
  </si>
  <si>
    <t>CT79NY21</t>
  </si>
  <si>
    <t>79% CTN/21% NYL</t>
  </si>
  <si>
    <t>CT78NY22</t>
  </si>
  <si>
    <t>78% CTN/22% NYL</t>
  </si>
  <si>
    <t>CT77NY23</t>
  </si>
  <si>
    <t>77% CTN/23% NYL</t>
  </si>
  <si>
    <t>CT76NY24</t>
  </si>
  <si>
    <t>76% CTN/24% NYL</t>
  </si>
  <si>
    <t>CT75NY25</t>
  </si>
  <si>
    <t>75% CTN/25% NYL</t>
  </si>
  <si>
    <t>CT74NY26</t>
  </si>
  <si>
    <t>74% CTN/26% NYL</t>
  </si>
  <si>
    <t>CT73NY27</t>
  </si>
  <si>
    <t>73% CTN/27% NYL</t>
  </si>
  <si>
    <t>CT72NY28</t>
  </si>
  <si>
    <t>72% CTN/28% NYL</t>
  </si>
  <si>
    <t>CT71NY29</t>
  </si>
  <si>
    <t>71% CTN/29% NYL</t>
  </si>
  <si>
    <t>CT70NY30</t>
  </si>
  <si>
    <t>70% CTN/30% NYL</t>
  </si>
  <si>
    <t>CT69NY31</t>
  </si>
  <si>
    <t>69% CTN/31% NYL</t>
  </si>
  <si>
    <t>CT68NY32</t>
  </si>
  <si>
    <t>68% CTN/32% NYL</t>
  </si>
  <si>
    <t>CT67NY33</t>
  </si>
  <si>
    <t>67% CTN/33% NYL</t>
  </si>
  <si>
    <t>CT66NY34</t>
  </si>
  <si>
    <t>66% CTN/34% NYL</t>
  </si>
  <si>
    <t>CT65NY35</t>
  </si>
  <si>
    <t>65% CTN/35% NYL</t>
  </si>
  <si>
    <t>CT64NY36</t>
  </si>
  <si>
    <t>64% CTN/36% NYL</t>
  </si>
  <si>
    <t>CT63NY37</t>
  </si>
  <si>
    <t>63% CTN/37% NYL</t>
  </si>
  <si>
    <t>CT62NY38</t>
  </si>
  <si>
    <t>62% CTN/38% NYL</t>
  </si>
  <si>
    <t>CT61NY39</t>
  </si>
  <si>
    <t>61% CTN/39% NYL</t>
  </si>
  <si>
    <t>CT60NY40</t>
  </si>
  <si>
    <t>60% CTN/40% NYL</t>
  </si>
  <si>
    <t>CT59NY41</t>
  </si>
  <si>
    <t>59% CTN/41% NYL</t>
  </si>
  <si>
    <t>CT58NY42</t>
  </si>
  <si>
    <t>58% CTN/42% NYL</t>
  </si>
  <si>
    <t>CT57NY43</t>
  </si>
  <si>
    <t>57% CTN/43% NYL</t>
  </si>
  <si>
    <t>CT56NY44</t>
  </si>
  <si>
    <t>56% CTN/44% NYL</t>
  </si>
  <si>
    <t>CT55NY45</t>
  </si>
  <si>
    <t>55% CTN/45% NYL</t>
  </si>
  <si>
    <t>CT54NY46</t>
  </si>
  <si>
    <t>54% CTN/46% NYL</t>
  </si>
  <si>
    <t>CT53NY47</t>
  </si>
  <si>
    <t>53% CTN/47% NYL</t>
  </si>
  <si>
    <t>CT52NY48</t>
  </si>
  <si>
    <t>52% CTN/48% NYL</t>
  </si>
  <si>
    <t>CT51NY49</t>
  </si>
  <si>
    <t>51% CTN/49% NYL</t>
  </si>
  <si>
    <t>CT50NY50</t>
  </si>
  <si>
    <t>50% CTN/50% NYL</t>
  </si>
  <si>
    <t>PO99SP1</t>
  </si>
  <si>
    <t>99% POLY/1% SPNDX</t>
  </si>
  <si>
    <t>PO98SP2</t>
  </si>
  <si>
    <t>98% POLY/2% SPNDX</t>
  </si>
  <si>
    <t>PO97SP3</t>
  </si>
  <si>
    <t>97% POLY/3% SPNDX</t>
  </si>
  <si>
    <t>PO96SP4</t>
  </si>
  <si>
    <t>96% POLY/4% SPNDX</t>
  </si>
  <si>
    <t>PO95SP5</t>
  </si>
  <si>
    <t>95% POLY/5% SPNDX</t>
  </si>
  <si>
    <t>PO94SP6</t>
  </si>
  <si>
    <t>94% POLY/6% SPNDX</t>
  </si>
  <si>
    <t>PO93SP7</t>
  </si>
  <si>
    <t>93% POLY/7% SPNDX</t>
  </si>
  <si>
    <t>PO92SP8</t>
  </si>
  <si>
    <t>92% POLY/8% SPNDX</t>
  </si>
  <si>
    <t>PO91SP9</t>
  </si>
  <si>
    <t>91% POLY/9% SPNDX</t>
  </si>
  <si>
    <t>PO90SP10</t>
  </si>
  <si>
    <t>90% POLY/10% SPNDX</t>
  </si>
  <si>
    <t>PO89SP11</t>
  </si>
  <si>
    <t>89% POLY/11% SPNDX</t>
  </si>
  <si>
    <t>PO88SP12</t>
  </si>
  <si>
    <t>88% POLY/12% SPNDX</t>
  </si>
  <si>
    <t>PO87SP13</t>
  </si>
  <si>
    <t>87% POLY/13% SPNDX</t>
  </si>
  <si>
    <t>PO86SP14</t>
  </si>
  <si>
    <t>86% POLY/14% SPNDX</t>
  </si>
  <si>
    <t>PO85SP15</t>
  </si>
  <si>
    <t>85% POLY/15% SPNDX</t>
  </si>
  <si>
    <t>PO84SP16</t>
  </si>
  <si>
    <t>84% POLY/16% SPNDX</t>
  </si>
  <si>
    <t>PO83SP17</t>
  </si>
  <si>
    <t>83% POLY/17% SPNDX</t>
  </si>
  <si>
    <t>PO82SP18</t>
  </si>
  <si>
    <t>82% POLY/18% SPNDX</t>
  </si>
  <si>
    <t>PO81SP19</t>
  </si>
  <si>
    <t>81% POLY/19% SPNDX</t>
  </si>
  <si>
    <t>PO80SP20</t>
  </si>
  <si>
    <t>80% POLY/20% SPNDX</t>
  </si>
  <si>
    <t>PO79SP21</t>
  </si>
  <si>
    <t>79% POLY/21% SPNDX</t>
  </si>
  <si>
    <t>PO78SP22</t>
  </si>
  <si>
    <t>78% POLY/22% SPNDX</t>
  </si>
  <si>
    <t>PO77SP23</t>
  </si>
  <si>
    <t>77% POLY/23% SPNDX</t>
  </si>
  <si>
    <t>PO76SP24</t>
  </si>
  <si>
    <t>76% POLY/24% SPNDX</t>
  </si>
  <si>
    <t>PO75SP25</t>
  </si>
  <si>
    <t>75% POLY/25% SPNDX</t>
  </si>
  <si>
    <t>PO74SP26</t>
  </si>
  <si>
    <t>74% POLY/26% SPNDX</t>
  </si>
  <si>
    <t>PO73SP27</t>
  </si>
  <si>
    <t>73% POLY/27% SPNDX</t>
  </si>
  <si>
    <t>PO72SP28</t>
  </si>
  <si>
    <t>72% POLY/28% SPNDX</t>
  </si>
  <si>
    <t>PO71SP29</t>
  </si>
  <si>
    <t>71% POLY/29% SPNDX</t>
  </si>
  <si>
    <t>PO70SP30</t>
  </si>
  <si>
    <t>70% POLY/30% SPNDX</t>
  </si>
  <si>
    <t>PO69SP31</t>
  </si>
  <si>
    <t>69% POLY/31% SPNDX</t>
  </si>
  <si>
    <t>PO68SP32</t>
  </si>
  <si>
    <t>68% POLY/32% SPNDX</t>
  </si>
  <si>
    <t>PO67SP33</t>
  </si>
  <si>
    <t>67% POLY/33% SPNDX</t>
  </si>
  <si>
    <t>PO66SP34</t>
  </si>
  <si>
    <t>66% POLY/34% SPNDX</t>
  </si>
  <si>
    <t>PO65SP35</t>
  </si>
  <si>
    <t>65% POLY/35% SPNDX</t>
  </si>
  <si>
    <t>PO64SP36</t>
  </si>
  <si>
    <t>64% POLY/36% SPNDX</t>
  </si>
  <si>
    <t>PO63SP37</t>
  </si>
  <si>
    <t>63% POLY/37% SPNDX</t>
  </si>
  <si>
    <t>PO62SP38</t>
  </si>
  <si>
    <t>62% POLY/38% SPNDX</t>
  </si>
  <si>
    <t>PO61SP39</t>
  </si>
  <si>
    <t>61% POLY/39% SPNDX</t>
  </si>
  <si>
    <t>PO60SP40</t>
  </si>
  <si>
    <t>60% POLY/40% SPNDX</t>
  </si>
  <si>
    <t>PO59SP41</t>
  </si>
  <si>
    <t>59% POLY/41% SPNDX</t>
  </si>
  <si>
    <t>PO58SP42</t>
  </si>
  <si>
    <t>58% POLY/42% SPNDX</t>
  </si>
  <si>
    <t>PO57SP43</t>
  </si>
  <si>
    <t>57% POLY/43% SPNDX</t>
  </si>
  <si>
    <t>PO56SP44</t>
  </si>
  <si>
    <t>56% POLY/44% SPNDX</t>
  </si>
  <si>
    <t>PO55SP45</t>
  </si>
  <si>
    <t>55% POLY/45% SPNDX</t>
  </si>
  <si>
    <t>PO54SP46</t>
  </si>
  <si>
    <t>54% POLY/46% SPNDX</t>
  </si>
  <si>
    <t>PO53SP47</t>
  </si>
  <si>
    <t>53% POLY/47% SPNDX</t>
  </si>
  <si>
    <t>PO52SP48</t>
  </si>
  <si>
    <t>52% POLY/48% SPNDX</t>
  </si>
  <si>
    <t>PO51SP49</t>
  </si>
  <si>
    <t>51% POLY/49% SPNDX</t>
  </si>
  <si>
    <t>PO50SP50</t>
  </si>
  <si>
    <t>50% POLY/50% SPNDX</t>
  </si>
  <si>
    <t>MO99PO1</t>
  </si>
  <si>
    <t>99% MODAL/1% POLY</t>
  </si>
  <si>
    <t>MO98PO2</t>
  </si>
  <si>
    <t>98% MODAL/2% POLY</t>
  </si>
  <si>
    <t>MO97PO3</t>
  </si>
  <si>
    <t>97% MODAL/3% POLY</t>
  </si>
  <si>
    <t>MO96PO4</t>
  </si>
  <si>
    <t>96% MODAL/4% POLY</t>
  </si>
  <si>
    <t>MO95PO5</t>
  </si>
  <si>
    <t>95% MODAL/5% POLY</t>
  </si>
  <si>
    <t>MO94PO6</t>
  </si>
  <si>
    <t>94% MODAL/6% POLY</t>
  </si>
  <si>
    <t>MO93PO7</t>
  </si>
  <si>
    <t>93% MODAL/7% POLY</t>
  </si>
  <si>
    <t>MO92PO8</t>
  </si>
  <si>
    <t>92% MODAL/8% POLY</t>
  </si>
  <si>
    <t>MO91PO9</t>
  </si>
  <si>
    <t>91% MODAL/9% POLY</t>
  </si>
  <si>
    <t>MO90PO10</t>
  </si>
  <si>
    <t>90% MODAL/10% POLY</t>
  </si>
  <si>
    <t>MO89PO11</t>
  </si>
  <si>
    <t>89% MODAL/11% POLY</t>
  </si>
  <si>
    <t>MO88PO12</t>
  </si>
  <si>
    <t>88% MODAL/12% POLY</t>
  </si>
  <si>
    <t>MO87PO13</t>
  </si>
  <si>
    <t>87% MODAL/13% POLY</t>
  </si>
  <si>
    <t>MO86PO14</t>
  </si>
  <si>
    <t>86% MODAL/14% POLY</t>
  </si>
  <si>
    <t>MO85PO15</t>
  </si>
  <si>
    <t>85% MODAL/15% POLY</t>
  </si>
  <si>
    <t>MO84PO16</t>
  </si>
  <si>
    <t>84% MODAL/16% POLY</t>
  </si>
  <si>
    <t>MO83PO17</t>
  </si>
  <si>
    <t>83% MODAL/17% POLY</t>
  </si>
  <si>
    <t>MO82PO18</t>
  </si>
  <si>
    <t>82% MODAL/18% POLY</t>
  </si>
  <si>
    <t>MO81PO19</t>
  </si>
  <si>
    <t>81% MODAL/19% POLY</t>
  </si>
  <si>
    <t>MO80PO20</t>
  </si>
  <si>
    <t>80% MODAL/20% POLY</t>
  </si>
  <si>
    <t>MO79PO21</t>
  </si>
  <si>
    <t>79% MODAL/21% POLY</t>
  </si>
  <si>
    <t>MO78PO22</t>
  </si>
  <si>
    <t>78% MODAL/22% POLY</t>
  </si>
  <si>
    <t>MO77PO23</t>
  </si>
  <si>
    <t>77% MODAL/23% POLY</t>
  </si>
  <si>
    <t>MO76PO24</t>
  </si>
  <si>
    <t>76% MODAL/24% POLY</t>
  </si>
  <si>
    <t>MO75PO25</t>
  </si>
  <si>
    <t>75% MODAL/25% POLY</t>
  </si>
  <si>
    <t>MO74PO26</t>
  </si>
  <si>
    <t>74% MODAL/26% POLY</t>
  </si>
  <si>
    <t>MO73PO27</t>
  </si>
  <si>
    <t>73% MODAL/27% POLY</t>
  </si>
  <si>
    <t>MO72PO28</t>
  </si>
  <si>
    <t>72% MODAL/28% POLY</t>
  </si>
  <si>
    <t>MO71PO29</t>
  </si>
  <si>
    <t>71% MODAL/29% POLY</t>
  </si>
  <si>
    <t>MO70PO30</t>
  </si>
  <si>
    <t>70% MODAL/30% POLY</t>
  </si>
  <si>
    <t>MO69PO31</t>
  </si>
  <si>
    <t>69% MODAL/31% POLY</t>
  </si>
  <si>
    <t>MO68PO32</t>
  </si>
  <si>
    <t>68% MODAL/32% POLY</t>
  </si>
  <si>
    <t>MO67PO33</t>
  </si>
  <si>
    <t>67% MODAL/33% POLY</t>
  </si>
  <si>
    <t>MO66PO34</t>
  </si>
  <si>
    <t>66% MODAL/34% POLY</t>
  </si>
  <si>
    <t>MO65PO35</t>
  </si>
  <si>
    <t>65% MODAL/35% POLY</t>
  </si>
  <si>
    <t>MO64PO36</t>
  </si>
  <si>
    <t>64% MODAL/36% POLY</t>
  </si>
  <si>
    <t>MO63PO37</t>
  </si>
  <si>
    <t>63% MODAL/37% POLY</t>
  </si>
  <si>
    <t>MO62PO38</t>
  </si>
  <si>
    <t>62% MODAL/38% POLY</t>
  </si>
  <si>
    <t>MO61PO39</t>
  </si>
  <si>
    <t>61% MODAL/39% POLY</t>
  </si>
  <si>
    <t>MO60PO40</t>
  </si>
  <si>
    <t>60% MODAL/40% POLY</t>
  </si>
  <si>
    <t>MO59PO41</t>
  </si>
  <si>
    <t>59% MODAL/41% POLY</t>
  </si>
  <si>
    <t>MO58PO42</t>
  </si>
  <si>
    <t>58% MODAL/42% POLY</t>
  </si>
  <si>
    <t>MO57PO43</t>
  </si>
  <si>
    <t>57% MODAL/43% POLY</t>
  </si>
  <si>
    <t>MO56PO44</t>
  </si>
  <si>
    <t>56% MODAL/44% POLY</t>
  </si>
  <si>
    <t>MO55PO45</t>
  </si>
  <si>
    <t>55% MODAL/45% POLY</t>
  </si>
  <si>
    <t>MO54PO46</t>
  </si>
  <si>
    <t>54% MODAL/46% POLY</t>
  </si>
  <si>
    <t>MO53PO47</t>
  </si>
  <si>
    <t>53% MODAL/47% POLY</t>
  </si>
  <si>
    <t>MO52PO48</t>
  </si>
  <si>
    <t>52% MODAL/48% POLY</t>
  </si>
  <si>
    <t>MO51PO49</t>
  </si>
  <si>
    <t>51% MODAL/49% POLY</t>
  </si>
  <si>
    <t>MO50PO50</t>
  </si>
  <si>
    <t>50% MODAL/50% POLY</t>
  </si>
  <si>
    <t>RA99MO1</t>
  </si>
  <si>
    <t>99% RAYON/1% MODAL</t>
  </si>
  <si>
    <t>RA98MO2</t>
  </si>
  <si>
    <t>98% RAYON/2% MODAL</t>
  </si>
  <si>
    <t>RA97MO3</t>
  </si>
  <si>
    <t>97% RAYON/3% MODAL</t>
  </si>
  <si>
    <t>RA96MO4</t>
  </si>
  <si>
    <t>96% RAYON/4% MODAL</t>
  </si>
  <si>
    <t>RA95MO5</t>
  </si>
  <si>
    <t>95% RAYON/5% MODAL</t>
  </si>
  <si>
    <t>RA94MO6</t>
  </si>
  <si>
    <t>94% RAYON/6% MODAL</t>
  </si>
  <si>
    <t>RA93MO7</t>
  </si>
  <si>
    <t>93% RAYON/7% MODAL</t>
  </si>
  <si>
    <t>RA92MO8</t>
  </si>
  <si>
    <t>92% RAYON/8% MODAL</t>
  </si>
  <si>
    <t>RA91MO9</t>
  </si>
  <si>
    <t>91% RAYON/9% MODAL</t>
  </si>
  <si>
    <t>RA90MO10</t>
  </si>
  <si>
    <t>90% RAYON/10% MODAL</t>
  </si>
  <si>
    <t>RA89MO11</t>
  </si>
  <si>
    <t>89% RAYON/11% MODAL</t>
  </si>
  <si>
    <t>RA88MO12</t>
  </si>
  <si>
    <t>88% RAYON/12% MODAL</t>
  </si>
  <si>
    <t>RA87MO13</t>
  </si>
  <si>
    <t>87% RAYON/13% MODAL</t>
  </si>
  <si>
    <t>RA86MO14</t>
  </si>
  <si>
    <t>86% RAYON/14% MODAL</t>
  </si>
  <si>
    <t>RA85MO15</t>
  </si>
  <si>
    <t>85% RAYON/15% MODAL</t>
  </si>
  <si>
    <t>RA84MO16</t>
  </si>
  <si>
    <t>84% RAYON/16% MODAL</t>
  </si>
  <si>
    <t>RA83MO17</t>
  </si>
  <si>
    <t>83% RAYON/17% MODAL</t>
  </si>
  <si>
    <t>RA82MO18</t>
  </si>
  <si>
    <t>82% RAYON/18% MODAL</t>
  </si>
  <si>
    <t>RA81MO19</t>
  </si>
  <si>
    <t>81% RAYON/19% MODAL</t>
  </si>
  <si>
    <t>RA80MO20</t>
  </si>
  <si>
    <t>80% RAYON/20% MODAL</t>
  </si>
  <si>
    <t>RA79MO21</t>
  </si>
  <si>
    <t>79% RAYON/21% MODAL</t>
  </si>
  <si>
    <t>RA78MO22</t>
  </si>
  <si>
    <t>78% RAYON/22% MODAL</t>
  </si>
  <si>
    <t>RA77MO23</t>
  </si>
  <si>
    <t>77% RAYON/23% MODAL</t>
  </si>
  <si>
    <t>RA76MO24</t>
  </si>
  <si>
    <t>76% RAYON/24% MODAL</t>
  </si>
  <si>
    <t>RA75MO25</t>
  </si>
  <si>
    <t>75% RAYON/25% MODAL</t>
  </si>
  <si>
    <t>RA74MO26</t>
  </si>
  <si>
    <t>74% RAYON/26% MODAL</t>
  </si>
  <si>
    <t>RA73MO27</t>
  </si>
  <si>
    <t>73% RAYON/27% MODAL</t>
  </si>
  <si>
    <t>RA72MO28</t>
  </si>
  <si>
    <t>72% RAYON/28% MODAL</t>
  </si>
  <si>
    <t>RA71MO29</t>
  </si>
  <si>
    <t>71% RAYON/29% MODAL</t>
  </si>
  <si>
    <t>RA70MO30</t>
  </si>
  <si>
    <t>70% RAYON/30% MODAL</t>
  </si>
  <si>
    <t>RA69MO31</t>
  </si>
  <si>
    <t>69% RAYON/31% MODAL</t>
  </si>
  <si>
    <t>RA68MO32</t>
  </si>
  <si>
    <t>68% RAYON/32% MODAL</t>
  </si>
  <si>
    <t>RA67MO33</t>
  </si>
  <si>
    <t>67% RAYON/33% MODAL</t>
  </si>
  <si>
    <t>RA66MO34</t>
  </si>
  <si>
    <t>66% RAYON/34% MODAL</t>
  </si>
  <si>
    <t>RA65MO35</t>
  </si>
  <si>
    <t>65% RAYON/35% MODAL</t>
  </si>
  <si>
    <t>RA64MO36</t>
  </si>
  <si>
    <t>64% RAYON/36% MODAL</t>
  </si>
  <si>
    <t>RA63MO37</t>
  </si>
  <si>
    <t>63% RAYON/37% MODAL</t>
  </si>
  <si>
    <t>RA62MO38</t>
  </si>
  <si>
    <t>62% RAYON/38% MODAL</t>
  </si>
  <si>
    <t>RA61MO39</t>
  </si>
  <si>
    <t>61% RAYON/39% MODAL</t>
  </si>
  <si>
    <t>RA60MO40</t>
  </si>
  <si>
    <t>60% RAYON/40% MODAL</t>
  </si>
  <si>
    <t>RA59MO41</t>
  </si>
  <si>
    <t>59% RAYON/41% MODAL</t>
  </si>
  <si>
    <t>RA58MO42</t>
  </si>
  <si>
    <t>58% RAYON/42% MODAL</t>
  </si>
  <si>
    <t>RA57MO43</t>
  </si>
  <si>
    <t>57% RAYON/43% MODAL</t>
  </si>
  <si>
    <t>RA56MO44</t>
  </si>
  <si>
    <t>56% RAYON/44% MODAL</t>
  </si>
  <si>
    <t>RA55MO45</t>
  </si>
  <si>
    <t>55% RAYON/45% MODAL</t>
  </si>
  <si>
    <t>RA54MO46</t>
  </si>
  <si>
    <t>54% RAYON/46% MODAL</t>
  </si>
  <si>
    <t>RA53MO47</t>
  </si>
  <si>
    <t>53% RAYON/47% MODAL</t>
  </si>
  <si>
    <t>RA52MO48</t>
  </si>
  <si>
    <t>52% RAYON/48% MODAL</t>
  </si>
  <si>
    <t>RA51MO49</t>
  </si>
  <si>
    <t>51% RAYON/49% MODAL</t>
  </si>
  <si>
    <t>RA50MO50</t>
  </si>
  <si>
    <t>50% RAYON/50% MODAL</t>
  </si>
  <si>
    <t>NY99LY1</t>
  </si>
  <si>
    <t>99% NYL/1% LYCRA</t>
  </si>
  <si>
    <t>NY98LY2</t>
  </si>
  <si>
    <t>98% NYL/2% LYCRA</t>
  </si>
  <si>
    <t>NY97LY3</t>
  </si>
  <si>
    <t>97% NYL/3% LYCRA</t>
  </si>
  <si>
    <t>NY96LY4</t>
  </si>
  <si>
    <t>96% NYL/4% LYCRA</t>
  </si>
  <si>
    <t>NY95LY5</t>
  </si>
  <si>
    <t>95% NYL/5% LYCRA</t>
  </si>
  <si>
    <t>NY94LY6</t>
  </si>
  <si>
    <t>94% NYL/6% LYCRA</t>
  </si>
  <si>
    <t>NY93LY7</t>
  </si>
  <si>
    <t>93% NYL/7% LYCRA</t>
  </si>
  <si>
    <t>NY92LY8</t>
  </si>
  <si>
    <t>92% NYL/8% LYCRA</t>
  </si>
  <si>
    <t>NY91LY9</t>
  </si>
  <si>
    <t>91% NYL/9% LYCRA</t>
  </si>
  <si>
    <t>NY90LY10</t>
  </si>
  <si>
    <t>90% NYL/10% LYCRA</t>
  </si>
  <si>
    <t>NY89LY11</t>
  </si>
  <si>
    <t>89% NYL/11% LYCRA</t>
  </si>
  <si>
    <t>NY88LY12</t>
  </si>
  <si>
    <t>88% NYL/12% LYCRA</t>
  </si>
  <si>
    <t>NY87LY13</t>
  </si>
  <si>
    <t>87% NYL/13% LYCRA</t>
  </si>
  <si>
    <t>NY86LY14</t>
  </si>
  <si>
    <t>86% NYL/14% LYCRA</t>
  </si>
  <si>
    <t>NY85LY15</t>
  </si>
  <si>
    <t>85% NYL/15% LYCRA</t>
  </si>
  <si>
    <t>NY84LY16</t>
  </si>
  <si>
    <t>84% NYL/16% LYCRA</t>
  </si>
  <si>
    <t>NY83LY17</t>
  </si>
  <si>
    <t>83% NYL/17% LYCRA</t>
  </si>
  <si>
    <t>NY82LY18</t>
  </si>
  <si>
    <t>82% NYL/18% LYCRA</t>
  </si>
  <si>
    <t>NY81LY19</t>
  </si>
  <si>
    <t>81% NYL/19% LYCRA</t>
  </si>
  <si>
    <t>NY80LY20</t>
  </si>
  <si>
    <t>80% NYL/20% LYCRA</t>
  </si>
  <si>
    <t>NY79LY21</t>
  </si>
  <si>
    <t>79% NYL/21% LYCRA</t>
  </si>
  <si>
    <t>NY78LY22</t>
  </si>
  <si>
    <t>78% NYL/22% LYCRA</t>
  </si>
  <si>
    <t>NY77LY23</t>
  </si>
  <si>
    <t>77% NYL/23% LYCRA</t>
  </si>
  <si>
    <t>NY76LY24</t>
  </si>
  <si>
    <t>76% NYL/24% LYCRA</t>
  </si>
  <si>
    <t>NY75LY25</t>
  </si>
  <si>
    <t>75% NYL/25% LYCRA</t>
  </si>
  <si>
    <t>NY74LY26</t>
  </si>
  <si>
    <t>74% NYL/26% LYCRA</t>
  </si>
  <si>
    <t>NY73LY27</t>
  </si>
  <si>
    <t>73% NYL/27% LYCRA</t>
  </si>
  <si>
    <t>NY72LY28</t>
  </si>
  <si>
    <t>72% NYL/28% LYCRA</t>
  </si>
  <si>
    <t>NY71LY29</t>
  </si>
  <si>
    <t>71% NYL/29% LYCRA</t>
  </si>
  <si>
    <t>NY70LY30</t>
  </si>
  <si>
    <t>70% NYL/30% LYCRA</t>
  </si>
  <si>
    <t>NY69LY31</t>
  </si>
  <si>
    <t>69% NYL/31% LYCRA</t>
  </si>
  <si>
    <t>NY68LY32</t>
  </si>
  <si>
    <t>68% NYL/32% LYCRA</t>
  </si>
  <si>
    <t>NY67LY33</t>
  </si>
  <si>
    <t>67% NYL/33% LYCRA</t>
  </si>
  <si>
    <t>NY66LY34</t>
  </si>
  <si>
    <t>66% NYL/34% LYCRA</t>
  </si>
  <si>
    <t>NY65LY35</t>
  </si>
  <si>
    <t>65% NYL/35% LYCRA</t>
  </si>
  <si>
    <t>NY64LY36</t>
  </si>
  <si>
    <t>64% NYL/36% LYCRA</t>
  </si>
  <si>
    <t>NY63LY37</t>
  </si>
  <si>
    <t>63% NYL/37% LYCRA</t>
  </si>
  <si>
    <t>NY62LY38</t>
  </si>
  <si>
    <t>62% NYL/38% LYCRA</t>
  </si>
  <si>
    <t>NY61LY39</t>
  </si>
  <si>
    <t>61% NYL/39% LYCRA</t>
  </si>
  <si>
    <t>NY60LY40</t>
  </si>
  <si>
    <t>60% NYL/40% LYCRA</t>
  </si>
  <si>
    <t>NY59LY41</t>
  </si>
  <si>
    <t>59% NYL/41% LYCRA</t>
  </si>
  <si>
    <t>NY58LY42</t>
  </si>
  <si>
    <t>58% NYL/42% LYCRA</t>
  </si>
  <si>
    <t>NY57LY43</t>
  </si>
  <si>
    <t>57% NYL/43% LYCRA</t>
  </si>
  <si>
    <t>NY56LY44</t>
  </si>
  <si>
    <t>56% NYL/44% LYCRA</t>
  </si>
  <si>
    <t>NY55LY45</t>
  </si>
  <si>
    <t>55% NYL/45% LYCRA</t>
  </si>
  <si>
    <t>NY54LY46</t>
  </si>
  <si>
    <t>54% NYL/46% LYCRA</t>
  </si>
  <si>
    <t>NY53LY47</t>
  </si>
  <si>
    <t>53% NYL/47% LYCRA</t>
  </si>
  <si>
    <t>NY52LY48</t>
  </si>
  <si>
    <t>52% NYL/48% LYCRA</t>
  </si>
  <si>
    <t>NY51LY49</t>
  </si>
  <si>
    <t>51% NYL/49% LYCRA</t>
  </si>
  <si>
    <t>NY50LY50</t>
  </si>
  <si>
    <t>50% NYL/50% LYCRA</t>
  </si>
  <si>
    <t>Nadun Mendis - BAW884</t>
  </si>
  <si>
    <t>PURCHASE PRICE
(Max character limit = 6 decimal places)</t>
  </si>
  <si>
    <t>FOB PRICE
(Max character limit = 4 decimal places)</t>
  </si>
  <si>
    <t>Manoj Silva - BAW247</t>
  </si>
  <si>
    <t>R-PAC LANKA (PVT) LTD. - RPA08473</t>
  </si>
  <si>
    <t>BEST PACIFIC TEXTILE HONG KONG LTD - BES08018</t>
  </si>
  <si>
    <t>T57 – Ladies Wear Casual Bottoms - M77</t>
  </si>
  <si>
    <t>HUNG HON (4K) LIMITED - HUN17057</t>
  </si>
  <si>
    <t>Dummy Item</t>
  </si>
  <si>
    <t>Dummy Item - E08 item type</t>
  </si>
  <si>
    <t>T76-Boys School Wear - Base Layer - M49</t>
  </si>
  <si>
    <t>T76 - Girls School Wear - Base Layer - M55</t>
  </si>
  <si>
    <t xml:space="preserve">WASHING </t>
  </si>
  <si>
    <t xml:space="preserve">DYEING </t>
  </si>
  <si>
    <t xml:space="preserve">Washing </t>
  </si>
  <si>
    <t xml:space="preserve">Dyeing </t>
  </si>
  <si>
    <t>100% COTTON - 100</t>
  </si>
  <si>
    <t>100% TENCEL - 100TENCEL</t>
  </si>
  <si>
    <t>43%PA, 6% Spandex and 51% PE - 43PA6S51PE</t>
  </si>
  <si>
    <t>47.5%Supima CTN 47.5% MicroMODAL 5%SPNDX - 47SC47MM5S</t>
  </si>
  <si>
    <t>52%POL48%CTN - 52%POL48%C</t>
  </si>
  <si>
    <t>52%Wool 36%Poly 5% Acrylic,5%Nyln 2%Othr - 52W36P5A5N</t>
  </si>
  <si>
    <t>55% CTN 34%POLY11%VISCO - 55CT34PL11</t>
  </si>
  <si>
    <t>55%Cotton 36%Polyester 09% Elastane - 55CT36PL9E</t>
  </si>
  <si>
    <t>55%CTN-38%PLY-7%SPN - 55CT38PL7S</t>
  </si>
  <si>
    <t>56% COTTON, 44% POLYESTER - 56CT44PY</t>
  </si>
  <si>
    <t>58% Cotton  35% Polyester  7% Elastane - 58CT35PL7E</t>
  </si>
  <si>
    <t>58% Polyamide 31% Polyester 11% Elastane - 58PA31PL11</t>
  </si>
  <si>
    <t>59PoMa16PoEs13Ela9Cot3Vis - 59P161393V</t>
  </si>
  <si>
    <t>60% POLYAMIDE,33% POLYESTER,7% ELASTANE - 60PLYM33PO</t>
  </si>
  <si>
    <t>60% TENCEL 40% COTTON - 60T40CT</t>
  </si>
  <si>
    <t>61%Polyamide20%Polyester12%Elastane6%Cot - 61PA20PL12</t>
  </si>
  <si>
    <t>64% Polyamide Polyester24% 12%Elastane - 64PA24PLYS</t>
  </si>
  <si>
    <t>65%Cotton 35%Linen - 65</t>
  </si>
  <si>
    <t>65%Cotton 35%Linen - 65CTN35LIN</t>
  </si>
  <si>
    <t>65%POLYESTER35%VISCOSE - 65POL35VIS</t>
  </si>
  <si>
    <t>65%RAYON 31%NYLON 4% SPENDEX - 65RY31NY4S</t>
  </si>
  <si>
    <t>68Polimade21Polyester10Elastane1Viscose - 68P21E10V1</t>
  </si>
  <si>
    <t>68%Polyamide14%Elastane12%Polyester6%Cot - 68PA14EL12</t>
  </si>
  <si>
    <t>68% Polyamide 32% Elastan - 68PA32ELA</t>
  </si>
  <si>
    <t>69% Polyamide 17% Polyester 14% Elastane - 69PA17PL14</t>
  </si>
  <si>
    <t>70% CTN 14% PLY 14% RAY 2%LYC - 70%CTN14%P</t>
  </si>
  <si>
    <t>70% COT 14% POLY 14% RAY 2%SPAN - 70C14P&amp;R2S</t>
  </si>
  <si>
    <t>70%CTN14%PLY14%RAY2%LYC - 70C14P14R2</t>
  </si>
  <si>
    <t>70%CTN 28%PLY 2%LYC - 70CT28PL2L</t>
  </si>
  <si>
    <t>72%NYLON 28%SPANDEX - 72NY28SPA</t>
  </si>
  <si>
    <t>73%Polyamid 16%Polyester 11%Elastaine - 73PA16PL11</t>
  </si>
  <si>
    <t>73% Polyamid 27% Elastaine - 73PA27EL</t>
  </si>
  <si>
    <t>75%Nylon 20%Metallized Fiber 5%Spandex - 75N20MT5SP</t>
  </si>
  <si>
    <t>75% POLYAMIDE,19% POLYESTER,6% ELASTANE - 75POLYM19P</t>
  </si>
  <si>
    <t>76% Polyamide 24% Elastane - 76PLA24ELS</t>
  </si>
  <si>
    <t>77% COTTON 23% POLY - 77CT23POLY</t>
  </si>
  <si>
    <t>77% Polyamid 23% Elastaine - 77PA23EL</t>
  </si>
  <si>
    <t>78% Polyamide 22% Elastane - 78PLA22ELS</t>
  </si>
  <si>
    <t>80% Polyester 20% Cotton - 80P20C</t>
  </si>
  <si>
    <t>81% Polyamid 19% Elastaine - 81PA19EL</t>
  </si>
  <si>
    <t>82.3% NYL / 17.7% ELASTAIN - 82.3NY17EL</t>
  </si>
  <si>
    <t>82% Nylon 18% Spandex - 82NY18SPND</t>
  </si>
  <si>
    <t>82% Polyamid 18% Elastaine - 82PLY18ELS</t>
  </si>
  <si>
    <t>83.7%nylon 16.3%spandex - 83.7NY16SP</t>
  </si>
  <si>
    <t>Nylon85%, Spandex15% - 100gm.sqn - 85NY15SP</t>
  </si>
  <si>
    <t>85%Nylon 9%Lurex 6%Spandex - 85NY9LX6SP</t>
  </si>
  <si>
    <t>85% Polyamid 15% Elastaine - 85PA15EL</t>
  </si>
  <si>
    <t>86.8% Nylon, 13.2% Spandex +-3% - 86.8NY13.2</t>
  </si>
  <si>
    <t>86%POLY 14%SPANDEX - 86PLY14SPX</t>
  </si>
  <si>
    <t>86%Polyamide 12%Elastane 2% Viscose - 86PO12EL2V</t>
  </si>
  <si>
    <t>87.6% NYL / 12.4% ELASTAIN - 87.6NYEL12</t>
  </si>
  <si>
    <t>87% Nylon 13% Elastane - 87NY13ELST</t>
  </si>
  <si>
    <t>87%Polyamide  9% Cotton 4% Elastane - 87PA9CO4EL</t>
  </si>
  <si>
    <t>87%Polyamide 13% Cotton - 87POA</t>
  </si>
  <si>
    <t>88.9%Nylon 11.1%Spandex - 88.9NL11SP</t>
  </si>
  <si>
    <t>88%Polyamide 12%Spandex - 88PLY12SPN</t>
  </si>
  <si>
    <t>88% Polyamide 11%Elastane 1% Viscose - 88PO11EL1V</t>
  </si>
  <si>
    <t>89.5%Nylon 10.5%Spandex - 89.5NL10SP</t>
  </si>
  <si>
    <t>89% NYLON 11% SPANDEX - 89NY11SP</t>
  </si>
  <si>
    <t>90%Polyamide 10%Elastane - 90POA10ELS</t>
  </si>
  <si>
    <t>91% Cotton 9% Elastane - 91COT9ELT</t>
  </si>
  <si>
    <t>91%CTN 7%ELST 2% SPDX - 91CT7EL2SP</t>
  </si>
  <si>
    <t>91% Polyamide 9% Elastane - 91POA9ELT</t>
  </si>
  <si>
    <t>Don't Use - 91POLS</t>
  </si>
  <si>
    <t>92%Cotton 5%Polyester 3%Elsastane - 92CT5PL3EL</t>
  </si>
  <si>
    <t>93.5%SupimaCotton6.5%Elastane - 93SCTN6ELS</t>
  </si>
  <si>
    <t>67%AC28%RA4%SP27%PE - AC41RA28SP</t>
  </si>
  <si>
    <t>“66%Acrylic 28%Viscose 6%Spandex” - AC66VS28S6</t>
  </si>
  <si>
    <t>67%ACRLC28%CO5%SP - AC67CO28</t>
  </si>
  <si>
    <t>66%Acrylic 18%Viscose 6%Spandex - ACR66V18S6</t>
  </si>
  <si>
    <t>94% BCI COTTON / 6% ELASTANE - BCT94EL6</t>
  </si>
  <si>
    <t>70% COT 14% POLY 14% RAY 2%SPAN - C100PR14SP</t>
  </si>
  <si>
    <t>63.3 % COTT 30.5% POLY 6.2% SPN - C63.3P30.5</t>
  </si>
  <si>
    <t>64%COTTON 26%RAYON 8%POLYESTER 2%SPANDEX - C64R26P8S2</t>
  </si>
  <si>
    <t>69%CTN15%RYN13%PLY3%LYA - C69R15P13L</t>
  </si>
  <si>
    <t>70%CTN 14%POL 14%RAY 2%LYC - C70P14R14L</t>
  </si>
  <si>
    <t>74%COT21%POLY5%ELA - C74P21E5</t>
  </si>
  <si>
    <t>92% COTTON / 5% POLYESTER / 3% ELSASTANE - C92P5E3</t>
  </si>
  <si>
    <t>50%COT25%POLY25%VISCOSE - CO50VP25</t>
  </si>
  <si>
    <t>CO74%PL21%EA5% - CO74P21EA5</t>
  </si>
  <si>
    <t>100% COTTON - CT100</t>
  </si>
  <si>
    <t>28% COTTON 12% RAYON 60% POLYESTER - CT2RY1PLY6</t>
  </si>
  <si>
    <t>41/51/8%S COT/MI MOD/LYC SJ SD 155 - CT41MD51S8</t>
  </si>
  <si>
    <t>42%CO52%MDAL6%SP - CT42M52SP6</t>
  </si>
  <si>
    <t>42%SCO52%MMDAL6%SP - CT42MM52S6</t>
  </si>
  <si>
    <t>58% TENCEL  42% COTTON - CT42TE58</t>
  </si>
  <si>
    <t>44% Cotton 44%Modal 12%Elasthane - CT44MO44</t>
  </si>
  <si>
    <t>44%CTN/56%POLY - CT44PO56</t>
  </si>
  <si>
    <t>47%COTT 47% MODAL, 6% ELAST - CT47MO47E6</t>
  </si>
  <si>
    <t>47% COT43%Pol10%SPDX - CT47P43S10</t>
  </si>
  <si>
    <t>47%cotton43%polyester10%elastane - CT47PO43E1</t>
  </si>
  <si>
    <t>49% CTN 51% POLYESTER - CT49PE51</t>
  </si>
  <si>
    <t>50% COT/ 25% POLY/ 25% RYON - CT50PL25RY</t>
  </si>
  <si>
    <t>50%Cot50%Pol - CT50POL50</t>
  </si>
  <si>
    <t>52%COTTON35%POLYESTER13%SPANDEX - CT5235PO13</t>
  </si>
  <si>
    <t>53% Cotton 45% Modal 2% Other fiber - CT5345M2OF</t>
  </si>
  <si>
    <t>53% CTN/47% LYCRA - CT53LY47</t>
  </si>
  <si>
    <t>54%COTTON38%POLYESTER8%SPANDEX - CT5438PO8S</t>
  </si>
  <si>
    <t>55% CTN/45% MODAL - CT55MO45</t>
  </si>
  <si>
    <t>56% COTTON/44% MODAL - CT56MO44</t>
  </si>
  <si>
    <t>56% COTTON 44% NYLON - CT56NY44</t>
  </si>
  <si>
    <t>55% COTTON 36%POLYESTER 9%SPANDEX SJ SD - CT56PL36S9</t>
  </si>
  <si>
    <t>56% Cotton, 37% Polyester, 7% Spandex - CT56PO37SP</t>
  </si>
  <si>
    <t>57% Cotton 38% Modal 5% Spdex - CT57MD3SP5</t>
  </si>
  <si>
    <t>57%COTTON38%POLYESTER5%SPANDEX - CT57PO38S5</t>
  </si>
  <si>
    <t>57% CTN/43% POLY - CT57PO43</t>
  </si>
  <si>
    <t>58% Cotton, 39% Rayon, 3% Spandex - CT58RY39S3</t>
  </si>
  <si>
    <t>59% Cotton 40% Modal 1% Other fiber - CT5940M1OF</t>
  </si>
  <si>
    <t>60% COTTON 40% COTTON PRO MODAL - CT60CTPM40</t>
  </si>
  <si>
    <t>60% Cotton 40% Lyocell - CT60LY40</t>
  </si>
  <si>
    <t>60% COTTON / 40% MODAL - CT60M040</t>
  </si>
  <si>
    <t>60% CTN/40% MODAL - CT60MO40</t>
  </si>
  <si>
    <t>CT60MO40 - 60% CTN/40% MODAL - CT60MOD40</t>
  </si>
  <si>
    <t>60% Cotton 40% Poly - CT60PLY40</t>
  </si>
  <si>
    <t>60% CTN/40% SPNDX - CT60SP40</t>
  </si>
  <si>
    <t>61% COTTON 36% POLY 3% SPANDEX - CT61P36SP3</t>
  </si>
  <si>
    <t>64% COTTON 34% LYOCELL 2% SPANDEX - CT64L34SP2</t>
  </si>
  <si>
    <t>64% CTN 36% POLY - CT64PLY36</t>
  </si>
  <si>
    <t>65%COTTON 33%POLY 2%SPAN - CT65PL33SP</t>
  </si>
  <si>
    <t>65%CTN35%PLY - CT65PLY35</t>
  </si>
  <si>
    <t>68% COTTON 27% POLY 5% SPANDEX - CT68PL27S5</t>
  </si>
  <si>
    <t>70.5%CTN28%POLY+1.5% - CT705P28E</t>
  </si>
  <si>
    <t>70.5% Cotton, 28% Polyester,1.5% Lycra - CT705P28L1</t>
  </si>
  <si>
    <t>WEFT 70% COT 19%MET 11% ELS - CT70ME19E1</t>
  </si>
  <si>
    <t>70% COTTON 28% POLYESTER 2% ELASTANE - CT70P28E2</t>
  </si>
  <si>
    <t>70% Cotton 28% Polyester 2% Spandex - CT70P28SP2</t>
  </si>
  <si>
    <t>70% COT 14% POLY 14% RAY 2%SPAN - CT70PL14RY</t>
  </si>
  <si>
    <t>72% Cotton 28%LINEN - CT72LI28</t>
  </si>
  <si>
    <t>72% Cotton 28%LINEN - CT72LIN28</t>
  </si>
  <si>
    <t>73%POLY,22%RAYON,5%SPANDEX - CT73P2R5SP</t>
  </si>
  <si>
    <t>75%CTN/ 23%POLY/ 2%ELS - CT75PL23E2</t>
  </si>
  <si>
    <t>76% CTN/24% POLY - CT76PO24</t>
  </si>
  <si>
    <t>78% COTTON/ 20% POLY/ 2% ELASTANE - CT78PLY202</t>
  </si>
  <si>
    <t>79% Cotton, 19% Polyester, 2% Polyuretha - CT79PLY19</t>
  </si>
  <si>
    <t>79% CTN/21% POLY - CT79PO21</t>
  </si>
  <si>
    <t>80% Cotton 20% Flax(Linen) - CT80FL20</t>
  </si>
  <si>
    <t>80% Cotton 20% Flax(Linen) - CT80FLX20</t>
  </si>
  <si>
    <t>80% CTTN/20% METALIC - CT80METL20</t>
  </si>
  <si>
    <t>80% CTTN 17% Poly 3% Elastane - CT80PL17E3</t>
  </si>
  <si>
    <t>80% CTN/20% POLY - CT80PO20</t>
  </si>
  <si>
    <t>81%COTTON 13%POLY6%ELAST13 - CT81P13E13</t>
  </si>
  <si>
    <t>83%Cotton10%Mtlic7Spandex - CT83M10SP7</t>
  </si>
  <si>
    <t>83% CTN 11% POLY 6% ELAST - CT83PL11E6</t>
  </si>
  <si>
    <t>85% COTTON / 15% LYCRA - CT85LY15</t>
  </si>
  <si>
    <t>85%Cotton8%Mtlic7%Spandex - CT85MT8SP7</t>
  </si>
  <si>
    <t>85.5%CTTN,14%PLY,0.5%ELA - CT85P145EL</t>
  </si>
  <si>
    <t>85% COTTON / 15% SPANDEX - CT85SP15</t>
  </si>
  <si>
    <t>86% COTTON / 14% LYCRA - CT86LY14</t>
  </si>
  <si>
    <t>86% COTTON / 14% SPANDEX - CT86SP14</t>
  </si>
  <si>
    <t>87% COTTON / 13% LYCRA - CT87LY13</t>
  </si>
  <si>
    <t>87% COTTON / 13% SPANDEX - CT87SP13</t>
  </si>
  <si>
    <t>88% COTTON / 12% LYCRA - CT88LY12</t>
  </si>
  <si>
    <t>88% COTTON / 12% SPANDEX - CT88SP12</t>
  </si>
  <si>
    <t>89%Cotton6%Elstane5%Metalic - CT89E6M5</t>
  </si>
  <si>
    <t>89% COTTON / 11% LYCRA - CT89LY11</t>
  </si>
  <si>
    <t>89%COTTON 5%POLY6%ELAST - CT89P5E6</t>
  </si>
  <si>
    <t>89% COTTON / 11% SPANDEX - CT89SP11</t>
  </si>
  <si>
    <t>90% COTTON / 10% LYCRA - CT90LY10</t>
  </si>
  <si>
    <t>90% COTTON / 10% SPANDEX - CT90SP10</t>
  </si>
  <si>
    <t>91% Cotton 9% Linen - CT91LIN9</t>
  </si>
  <si>
    <t>91% COTTON / 9% LYCRA - CT91LY9</t>
  </si>
  <si>
    <t>91% COTTON / 9% SPANDEX - CT91SP9</t>
  </si>
  <si>
    <t>92% COTTON / 8% ELASTAINE - CT92EL8</t>
  </si>
  <si>
    <t>92% COTTON / 8% LYCRA - CT92LY8</t>
  </si>
  <si>
    <t>92% COTTON 6% POLYESTER 2 % ELASTANE - CT92PY6E2</t>
  </si>
  <si>
    <t>92%CTN 7%PLY 1% LYC - CT92PY7L1</t>
  </si>
  <si>
    <t>92% COTTON / 8% SPANDEX - CT92SP8</t>
  </si>
  <si>
    <t>93% Cotton , 7% Elastane - CT93ELS7</t>
  </si>
  <si>
    <t>93% COTTON / 7% LYCRA - CT93LY7</t>
  </si>
  <si>
    <t>93% COTTON,5% POLYESTER, 2 % ELASTANE - CT93PL5EL2</t>
  </si>
  <si>
    <t>93% COTTON / 7% SPANDEX - CT93SP7</t>
  </si>
  <si>
    <t>94% Cotton / 6% Elastane - CT94EL6</t>
  </si>
  <si>
    <t>94% COTTON / 6% LYCRA - CT94LY6</t>
  </si>
  <si>
    <t>94% COTTON / 6% SPANDEX - CT94SP6</t>
  </si>
  <si>
    <t>95% CTN/5% ELASTAIN - CT95EL5</t>
  </si>
  <si>
    <t>95% COTTON / 5% LYCRA - CT95LY5</t>
  </si>
  <si>
    <t>95% CTN/5% MODAL - CT95MOD5</t>
  </si>
  <si>
    <t>95% CTN/5%SPNDX - CT95SP5</t>
  </si>
  <si>
    <t>96%Cotton 4%Elastane - CT96EL4</t>
  </si>
  <si>
    <t>96% COTTON / 4% LYCRA - CT96LY4</t>
  </si>
  <si>
    <t>96% CTN/4% POLY - CT96PO4</t>
  </si>
  <si>
    <t>96% COTTON / 4% SPANDEX - CT96SP4</t>
  </si>
  <si>
    <t>97% COTTON / 3%ELASTANCE - CT97EL3</t>
  </si>
  <si>
    <t>97% COTTON / 3% LYCRA - CT97LY3</t>
  </si>
  <si>
    <t>97% Cotton 3% Other - CT97OTH3</t>
  </si>
  <si>
    <t>97% COTTON / 3% SPANDEX - CT97SP3</t>
  </si>
  <si>
    <t>93/7% CTN/SPND - CT97SP7</t>
  </si>
  <si>
    <t>98%COTTON &amp; 2%ELASTANE - CT98EL2</t>
  </si>
  <si>
    <t>98% COTTON / 2% LYCRA - CT98LY2</t>
  </si>
  <si>
    <t>98% COTTON 2% OTHER FIBER - CT98OTHER2</t>
  </si>
  <si>
    <t>98% COTTON / 2% SPANDEX - CT98SP2</t>
  </si>
  <si>
    <t>99% COTTON, 1% ELASTANE - CT99EL1</t>
  </si>
  <si>
    <t>99% COTTON / 1% LYCRA - CT99LY1</t>
  </si>
  <si>
    <t>99% COTTON / 1% SPANDEX - CT99SP1</t>
  </si>
  <si>
    <t>COTTON- 55 % / POLY -45% - CTN55PLY45</t>
  </si>
  <si>
    <t>73% cotton 27% polyester - CTN73PLY27</t>
  </si>
  <si>
    <t>CTN 83% POLY 17% - CTN87PLY17</t>
  </si>
  <si>
    <t>93%COT 7%EL SJ 175GSM 130CM - CTN93ELA7</t>
  </si>
  <si>
    <t>55% LINEN 45% VISCOSE - L55V45</t>
  </si>
  <si>
    <t>57% LINEN 43% VISCOSE - L57V43</t>
  </si>
  <si>
    <t>100% LINEN - LIN100</t>
  </si>
  <si>
    <t>81% LINEN 19% COTTON - LIN81COT19</t>
  </si>
  <si>
    <t>51% LINNEN 49% COTTON - LN51CT49</t>
  </si>
  <si>
    <t>55% LINEN 45% COTTON - LN55CT45</t>
  </si>
  <si>
    <t>57%LINEN 43%VISCOSE WOVEN - LN57VS43</t>
  </si>
  <si>
    <t>100% LYCRA - LY100</t>
  </si>
  <si>
    <t>MICROACRYLIC 41%POLYESTER27%RAYON28%SP4% - MA41P27R28</t>
  </si>
  <si>
    <t>91% MODAL / 9% CTN - MD91CT09</t>
  </si>
  <si>
    <t>93% MODAL/7% ELASTAIN - MD93EL7</t>
  </si>
  <si>
    <t>95% MODAL/5% ELASTAIN - MD95EL5</t>
  </si>
  <si>
    <t>96% MODAL/4% ELASTAIN - MD96EL4</t>
  </si>
  <si>
    <t>100% MODAL - MO100</t>
  </si>
  <si>
    <t>46.7%MODAL 46.7%POLYESTER 6.6%SPANDEX - MO46PO46S6</t>
  </si>
  <si>
    <t>MO60CT40 - 60% MODAL/40% CTN - MO60CT40</t>
  </si>
  <si>
    <t>60% MODAL/40% NYL - MO60NY40</t>
  </si>
  <si>
    <t>MO90LY10 - 90% MODAL/10% LYCRA - MO90LY10</t>
  </si>
  <si>
    <t>90% MODAL / 10% SPNDX - MO90SP10</t>
  </si>
  <si>
    <t>94% MODAL/6% SPNDX - MO94SP6</t>
  </si>
  <si>
    <t>95% MODAL/5% CTN - MO95CT5</t>
  </si>
  <si>
    <t>Modal Cotton 95% Spandex 5% - MO95SP5</t>
  </si>
  <si>
    <t>50% MODAL/50% CTN - MOD50CT50</t>
  </si>
  <si>
    <t>Not Applicable - NA</t>
  </si>
  <si>
    <t>100% NYLON - NY100</t>
  </si>
  <si>
    <t>74% COTTON, 26% NYLON - NY26CT74</t>
  </si>
  <si>
    <t>40% NYLON 56% POLYESTER 4% SPANDEX - NY40PO56SP</t>
  </si>
  <si>
    <t>47% NYLON 46% POLYESTER 7% ELASTANE - NY47PO46EL</t>
  </si>
  <si>
    <t>65% NYLON /35% SPNDEX - NY65SP35</t>
  </si>
  <si>
    <t>67% NYLON /33% LYCRA - NY67LY33</t>
  </si>
  <si>
    <t>67% NYLON /33% SPNDEX - NY67SP33</t>
  </si>
  <si>
    <t>68% NYLON /32% SPANDEX - NY68SP32</t>
  </si>
  <si>
    <t>71% NYLON 29% SPDX - NY71LY29</t>
  </si>
  <si>
    <t>72% NYLON 28% LYCRA - NY72LY28</t>
  </si>
  <si>
    <t>72% NYL/ 28% ELASTAIN - NY72NY28</t>
  </si>
  <si>
    <t>74%NYL/26% SPNDX - NY74SP26</t>
  </si>
  <si>
    <t>75% NYLON, 25% ELASTANE - NY75ELS25</t>
  </si>
  <si>
    <t>75% NYL/25% LYCRA - NY75LY25</t>
  </si>
  <si>
    <t>75% NYLON / 25% Spandex - NY75SP25</t>
  </si>
  <si>
    <t>76% NYLON / 24% Lycra - NY76LY24</t>
  </si>
  <si>
    <t>76% NYLON / 24% Spandex - NY76SP24</t>
  </si>
  <si>
    <t>77% NYL/23% ELASTAIN - NY77EL23</t>
  </si>
  <si>
    <t>77% NYL/23% LYCRA - NY77LY23</t>
  </si>
  <si>
    <t>78%NY/22%SP - NY78SP22</t>
  </si>
  <si>
    <t>79% NYLON / 21% Spandex - NY79SP21</t>
  </si>
  <si>
    <t>80% Nylon 20% Spandex - NY80SP20</t>
  </si>
  <si>
    <t>82% NYLON 18% LYCRA - NY82LY18</t>
  </si>
  <si>
    <t>82% Nylon 18% Spandex - NY82SP18</t>
  </si>
  <si>
    <t>84.5% NYLON / 15.5% SPANDEX - NY845SP155</t>
  </si>
  <si>
    <t>84% NYL/16% SPNDX - NY84SP16</t>
  </si>
  <si>
    <t>85% NYLON / 15% LYCRA - NY85LY15</t>
  </si>
  <si>
    <t>85% NYLON / 15% SPANDEX - NY85SP15</t>
  </si>
  <si>
    <t>86% NYLON / 14% LYCRA - NY86LY14</t>
  </si>
  <si>
    <t>86% NYLON / 14% SPANDEX - NY86SP14</t>
  </si>
  <si>
    <t>87.5% NYLON 12.5% SPANDEX - NY875SP125</t>
  </si>
  <si>
    <t>87% NYLON / 13% LYCRA - NY87LY13</t>
  </si>
  <si>
    <t>87% NYLON / 13% SPANDEX - NY87SP13</t>
  </si>
  <si>
    <t>Nylon 87% Spandex 7% Rayon 6% - NY87SP7RY6</t>
  </si>
  <si>
    <t>88% NYLON / 12% LYCRA - NY88LY12</t>
  </si>
  <si>
    <t>88% NYLON / 12% SPANDEX - NY88SP12</t>
  </si>
  <si>
    <t>89.7% NYLON 10.3% SPANDEX - NY897SP103</t>
  </si>
  <si>
    <t>89% NYLON / 11% LYCRA - NY89LY11</t>
  </si>
  <si>
    <t>89% NYLON / 11% SPANDEX - NY89SP11</t>
  </si>
  <si>
    <t>90% NYLON / 10% LYCRA - NY90LY10</t>
  </si>
  <si>
    <t>90% NYLON / 10% SPANDEX - NY90SP10</t>
  </si>
  <si>
    <t>91% NYLON / 9% LYCRA - NY91LY9</t>
  </si>
  <si>
    <t>91% NYLON / 9% SPANDEX - NY91SP9</t>
  </si>
  <si>
    <t>92% NYLON / 8% LYCRA - NY92LY8</t>
  </si>
  <si>
    <t>92% NYLON / 8% SPANDEX - NY92SP8</t>
  </si>
  <si>
    <t>93% NYLON / 7% LYCRA - NY93LY7</t>
  </si>
  <si>
    <t>93% NYLON / 7% SPANDEX - NY93SP7</t>
  </si>
  <si>
    <t>94% NYLON / 6% LYCRA - NY94LY6</t>
  </si>
  <si>
    <t>94% NYLON / 6% SPANDEX - NY94SP6</t>
  </si>
  <si>
    <t>95% NYLON / 5% LYCRA - NY95LY5</t>
  </si>
  <si>
    <t>95% NYLON / 5% SPANDEX - NY95SP5</t>
  </si>
  <si>
    <t>96% NYLON / 4% LYCRA - NY96LY4</t>
  </si>
  <si>
    <t>96% NYLON / 4% SPANDEX - NY96SP4</t>
  </si>
  <si>
    <t>97% NYLON / 3% LYCRA - NY97LY3</t>
  </si>
  <si>
    <t>97% NYLON / 3% SPANDEX - NY97SP3</t>
  </si>
  <si>
    <t>98% NYLON / 2% LYCRA - NY98LY2</t>
  </si>
  <si>
    <t>98% NYLON / 2% SPANDEX - NY98SP2</t>
  </si>
  <si>
    <t>99% NYLON / 1% LYCRA - NY99LY1</t>
  </si>
  <si>
    <t>99% NYLON / 1% SPANDEX - NY99SP1</t>
  </si>
  <si>
    <t>100% ORGANIC COTTON - OC100</t>
  </si>
  <si>
    <t>47%ORGCT50%CT3%SPNDX - OC47C503SP</t>
  </si>
  <si>
    <t>50% ORCTN47%CTN3%SPDX - OC50C47S3</t>
  </si>
  <si>
    <t>1x1Rib-50%Organic CTN,47% CTN,3%SPNDEX - OC50C47SP3</t>
  </si>
  <si>
    <t>85% ORGANIC COTTON / 15% LYCRA - OC85LY15</t>
  </si>
  <si>
    <t>85% ORGANIC COTTON / 15% SPANDEX - OC85SP15</t>
  </si>
  <si>
    <t>86% ORGANIC COTTON / 14% LYCRA - OC86LY14</t>
  </si>
  <si>
    <t>86% ORGANIC COTTON / 14% SPANDEX - OC86SP14</t>
  </si>
  <si>
    <t>87% ORGANIC COTTON / 13% LYCRA - OC87LY13</t>
  </si>
  <si>
    <t>87% ORGANIC COTTON / 13% SPANDEX - OC87SP13</t>
  </si>
  <si>
    <t>88% ORGANIC COTTON / 12% LYCRA - OC88LY12</t>
  </si>
  <si>
    <t>88% ORGANIC COTTON / 12% SPANDEX - OC88SP12</t>
  </si>
  <si>
    <t>89% ORGANIC COTTON / 11% LYCRA - OC89LY11</t>
  </si>
  <si>
    <t>89% ORGANIC COTTON / 11% SPANDEX - OC89SP11</t>
  </si>
  <si>
    <t>90% ORGANIC COTTON / 10% LYCRA - OC90LY10</t>
  </si>
  <si>
    <t>90% ORGANIC COTTON / 10% SPANDEX - OC90SP10</t>
  </si>
  <si>
    <t>91% ORGANIC COTTON / 9% LYCRA - OC91LY9</t>
  </si>
  <si>
    <t>91% ORGANIC COTTON / 9% SPANDEX - OC91SP9</t>
  </si>
  <si>
    <t>92% ORGANIC COTTON / 8% LYCRA - OC92LY8</t>
  </si>
  <si>
    <t>92% ORGANIC COTTON / 8% SPANDEX - OC92SP8</t>
  </si>
  <si>
    <t>93% ORGANIC COTTON / 7% LYCRA - OC93LY7</t>
  </si>
  <si>
    <t>93% ORGANIC COTTON / 7% SPANDEX - OC93SP7</t>
  </si>
  <si>
    <t>94% ORGANIC COTTON / 6% LYCRA - OC94LY6</t>
  </si>
  <si>
    <t>94% ORGANIC COTTON / 6% SPANDEX - OC94SP6</t>
  </si>
  <si>
    <t>95% ORGANIC COTTON / 5% LYCRA - OC95LY5</t>
  </si>
  <si>
    <t>95% ORGANIC COTTON / 5% SPANDEX - OC95SP5</t>
  </si>
  <si>
    <t>96% ORGANIC COTTON / 4% LYCRA - OC96LY4</t>
  </si>
  <si>
    <t>96% ORGANIC COTTON / 4% SPANDEX - OC96SP4</t>
  </si>
  <si>
    <t>97% ORGANIC COTTON / 3% LYCRA - OC97LY3</t>
  </si>
  <si>
    <t>97% ORGANIC COTTON / 3% SPANDEX - OC97SP3</t>
  </si>
  <si>
    <t>98% ORGANIC COTTON / 2% LYCRA - OC98LY2</t>
  </si>
  <si>
    <t>98% ORGANIC COTTON / 2% SPANDEX - OC98SP2</t>
  </si>
  <si>
    <t>99% ORGANIC COTTON / 1% LYCRA - OC99LY1</t>
  </si>
  <si>
    <t>99% ORGANIC COTTON / 1% SPANDEX - OC99SP1</t>
  </si>
  <si>
    <t>87%OrgCo 13%Sp - OCTN87SP13</t>
  </si>
  <si>
    <t>100% ORG CTN - ORG100CTTN</t>
  </si>
  <si>
    <t>53% POLYESTER 42% COTTON 5% SPANDEX - P53CT42SP5</t>
  </si>
  <si>
    <t>72%POLYESTER 24%RAYON 4% SPANDEX - P72RY24SP4</t>
  </si>
  <si>
    <t>100% POLYESTER - PE100</t>
  </si>
  <si>
    <t>45%polyester/42% Polymaide/13% Elastane - PL45P42E13</t>
  </si>
  <si>
    <t>49%POLYESTER 41%COTTON 10%ELASTANE - PL49CT41EL</t>
  </si>
  <si>
    <t>56%COTTON 36%POLYESTER 8%SPANDEX - PL50PL36S8</t>
  </si>
  <si>
    <t>65%POLYESTER,35%COTTON - PL65CT35</t>
  </si>
  <si>
    <t>65%POLYESTER,35%COTTON - PL65CT38</t>
  </si>
  <si>
    <t>50% POLYESTER/50% RAYON - PLY50RAY50</t>
  </si>
  <si>
    <t>65%POLYESTER35%VISCOSE - PLY65VI35</t>
  </si>
  <si>
    <t>64% Polyamide Polyester24% 12%Elastane - PM64P24E12</t>
  </si>
  <si>
    <t>65% Polyamide Polyester23% 12%Elastane - PM65P23E12</t>
  </si>
  <si>
    <t>66% Polyamide Polyester23% 11%Elastane - PM66P23E11</t>
  </si>
  <si>
    <t>76% Polyamide 24% Spandex - PM76SP24</t>
  </si>
  <si>
    <t>81%Polyamide 17% Elastane 2%Viscose - PM81E17V2</t>
  </si>
  <si>
    <t>83%Polyamide 14% Elastane 3%Viscose - PM83E14V3</t>
  </si>
  <si>
    <t>84%Polyamide 14% Elastane 2%Viscose - PM84E14V2</t>
  </si>
  <si>
    <t>84% Polyamide 15% Spandex 1% Polyester - PM84S15P1</t>
  </si>
  <si>
    <t>89% Polyamide 11%Elastane - PM89EL11</t>
  </si>
  <si>
    <t>100% POLYESTER - PO100</t>
  </si>
  <si>
    <t>26% POLY 47% BEAD 27% PU-200GSM-53" - PO26BE27</t>
  </si>
  <si>
    <t>48% Poly 45% ctn 7% Elastane - PO48CT45</t>
  </si>
  <si>
    <t>51% Poly, 39% ctn, 10% Elastane - PO51CT39</t>
  </si>
  <si>
    <t>51% POLY/49% CTN - PO51CT49</t>
  </si>
  <si>
    <t>53% Poly 38% ctn 9% elastane - PO53CT38</t>
  </si>
  <si>
    <t>53% POLY/47% CTN - PO53CT47</t>
  </si>
  <si>
    <t>55% Poly, 37% ctn, 8% elastane - PO55CT37</t>
  </si>
  <si>
    <t>55% POLY/45% MODAL - PO55MD45</t>
  </si>
  <si>
    <t>60% POLY/40% CTN - PO60CT40</t>
  </si>
  <si>
    <t>70% POLYESTER 25% RAYON 5% SPANDEX - PO70RA25S5</t>
  </si>
  <si>
    <t>72% POLY/28% SPNDX - PO72SPD28</t>
  </si>
  <si>
    <t>73% POLY 27% CTN - PO73CT27</t>
  </si>
  <si>
    <t>75% POLYESTER / 25% Lycra - PO75LY25</t>
  </si>
  <si>
    <t>75% POLYESTER 25% RAYON - PO75RA25</t>
  </si>
  <si>
    <t>79%Polyamide 19%Elastane 2%Lurex - PO79EL192L</t>
  </si>
  <si>
    <t>80%POLYAMIDE20%ELASTANE - PO8020ELA</t>
  </si>
  <si>
    <t>81% POLYESTER/19% SPANDEX - PO81SP19</t>
  </si>
  <si>
    <t>82% POLYAMIDE 18% ELASTANE - PO82EL18</t>
  </si>
  <si>
    <t>82% POLY/18% SPNDX - PO82SP18</t>
  </si>
  <si>
    <t>82% POLY/18% SPNDX - PO82SPX18</t>
  </si>
  <si>
    <t>83% POLYESTER / 17% SPANDEX - PO83SP17</t>
  </si>
  <si>
    <t>84% POLYAMIDE/ 16% ELASTANE - PO84EL16</t>
  </si>
  <si>
    <t>84% POLYESTER / 16% SPANDEX - PO84SP16</t>
  </si>
  <si>
    <t>85% POLY / 15% RYON - PO85RY15</t>
  </si>
  <si>
    <t>85% POLYESTER / 15% SPANDEX - PO85SP15</t>
  </si>
  <si>
    <t>86%POLYAMIDE14%ELASTANE - PO8614ELA</t>
  </si>
  <si>
    <t>Polyamide 86% Elastane 14% - PO86EL14</t>
  </si>
  <si>
    <t>86% POLYESTER / 14% SPANDEX - PO86SP14</t>
  </si>
  <si>
    <t>87% POLYESTER / 13% SPANDEX - PO87SP13</t>
  </si>
  <si>
    <t>88%POLYESTER12%ELASTANE - PO8812ELA</t>
  </si>
  <si>
    <t>88% POLYESTER / 12% SPANDEX - PO88SP12</t>
  </si>
  <si>
    <t>89% POLYESTER / 11% SPANDEX - PO89SP11</t>
  </si>
  <si>
    <t>90%POLYAMIDE10%ELASTANE - PO9010ELA</t>
  </si>
  <si>
    <t>90% POLYESTER 10% ELASTAIN - PO90EL10</t>
  </si>
  <si>
    <t>90% POLYESTER / 10% SPANDEX - PO90SP10</t>
  </si>
  <si>
    <t>91% POLYESTER / 9% SPANDEX - PO91SP9</t>
  </si>
  <si>
    <t>92% POLYESTER / 8% SPANDEX - PO92SP8</t>
  </si>
  <si>
    <t>Polyamide 93% Elastane 7% - PO93EL7</t>
  </si>
  <si>
    <t>93% POLYESTER / 7% SPANDEX - PO93SP7</t>
  </si>
  <si>
    <t>94.0% Polyester &amp; 6.0% Elastane - PO94EL6</t>
  </si>
  <si>
    <t>94% POLYESTER / 6% SPANDEX - PO94SP6</t>
  </si>
  <si>
    <t>95% POLYESTER / 5% SPANDEX - PO95SP5</t>
  </si>
  <si>
    <t>96% POLYESTER / 4% SPANDEX - PO96SP4</t>
  </si>
  <si>
    <t>97% POLYESTER / 3% SPANDEX - PO97SP3</t>
  </si>
  <si>
    <t>98% POLYESTER / 2% SPANDEX - PO98SP2</t>
  </si>
  <si>
    <t>99% POLYESTER / 1% SPANDEX - PO99SP1</t>
  </si>
  <si>
    <t>54% Polyester 37% cotton 9% Elastane - POCTES1</t>
  </si>
  <si>
    <t>45% Polyester 45% cotton 10% Elastane - POCTES2</t>
  </si>
  <si>
    <t>54% Polyester 37% cotton 9% spandex - POCTSP1</t>
  </si>
  <si>
    <t>50%POLY 50%VISCS - POL50VIS50</t>
  </si>
  <si>
    <t>61% Polyamide 39% Elastane - POL61ELS39</t>
  </si>
  <si>
    <t>72% POLY/28% SPNDX - POL72SPD28</t>
  </si>
  <si>
    <t>62%POL 33%VISCOSE 5%SPDX - POVCSP1</t>
  </si>
  <si>
    <t>39%Polyester 39%Polyamide 22%Elastan - PY39PM39E2</t>
  </si>
  <si>
    <t>63%POLY 33%RAYON 4%SPANDEX - PY63RY33S4</t>
  </si>
  <si>
    <t>95% Rayon 5% Spandex - R95SP5</t>
  </si>
  <si>
    <t>100% RAYON - RA100</t>
  </si>
  <si>
    <t>65% RAYON/35% NYL - RA65NY35</t>
  </si>
  <si>
    <t>96% Rayon 4% Elastain - RA96EL4</t>
  </si>
  <si>
    <t>63%Rayon32% Nylon/5% Spandex - RY63NY32S5</t>
  </si>
  <si>
    <t>65% Rayon 30% Nylon 5% Spandex - RY65NY30SP</t>
  </si>
  <si>
    <t>82%Rayon15%Cotton3%Spandex - RY82CT15S3</t>
  </si>
  <si>
    <t>SAMPLE - SAMPLE</t>
  </si>
  <si>
    <t>42%S.CO52%MI MDAL6%SP - SC42MM52S6</t>
  </si>
  <si>
    <t>63.5 SUPIMA COTTON 6.5 ELASTANE - SC63EL6</t>
  </si>
  <si>
    <t>93.5 SUPIMA COTTON 6.5 ELASTANE - SC93EL6</t>
  </si>
  <si>
    <t>95 SUPIMA COTTON 5 ELASTANE - SC95EL5</t>
  </si>
  <si>
    <t>41% SUPCTN/51%Modal/8%Lycra - SCT41M518L</t>
  </si>
  <si>
    <t>92%SUPCTN/ 8%LYCRA - SCTN92LYC8</t>
  </si>
  <si>
    <t>100% SPANDEX - SP100</t>
  </si>
  <si>
    <t>41% SUPCTN/51%Modal/8%Lycra - SU41MO51LY</t>
  </si>
  <si>
    <t>Undefined - TBA</t>
  </si>
  <si>
    <t>100% TENCEL - TE100</t>
  </si>
  <si>
    <t>Test - TEST</t>
  </si>
  <si>
    <t>73% VISCOSE 27% POLYESTER - VIS73PLY27</t>
  </si>
  <si>
    <t>84% VISCOSE 16% SILK - VIS84SIL16</t>
  </si>
  <si>
    <t>95/5% Viscose/Elastane - VIS95ELA05</t>
  </si>
  <si>
    <t>95%VISCOSE 5%SPENDEX - VIS95SPND5</t>
  </si>
  <si>
    <t>96% VISCOSE 4% ELASTAIN - VIS96ELST4</t>
  </si>
  <si>
    <t>100% Viscose - VISCOSE100</t>
  </si>
  <si>
    <t>96% Viscose 4% Elastain - VS96EL4</t>
  </si>
  <si>
    <t>100% WOOL - WL100</t>
  </si>
  <si>
    <t>BADGE</t>
  </si>
  <si>
    <t>BADGE PATCH</t>
  </si>
  <si>
    <t>BAND</t>
  </si>
  <si>
    <t>BAND ROLL</t>
  </si>
  <si>
    <t>Barcode Stickers</t>
  </si>
  <si>
    <t>BEAD</t>
  </si>
  <si>
    <t>BELLY BAND</t>
  </si>
  <si>
    <t>Belt</t>
  </si>
  <si>
    <t>Body Card</t>
  </si>
  <si>
    <t>Bow</t>
  </si>
  <si>
    <t>BRA CUPS</t>
  </si>
  <si>
    <t>BUTTON BAG</t>
  </si>
  <si>
    <t>By-Product</t>
  </si>
  <si>
    <t>CARD</t>
  </si>
  <si>
    <t>Carton Sticker</t>
  </si>
  <si>
    <t>COLLAR</t>
  </si>
  <si>
    <t>Cord</t>
  </si>
  <si>
    <t>CORDLOCK</t>
  </si>
  <si>
    <t>DRAW CODE</t>
  </si>
  <si>
    <t>DUST COVER</t>
  </si>
  <si>
    <t>Dye</t>
  </si>
  <si>
    <t>EYELET</t>
  </si>
  <si>
    <t>GIFT BOX</t>
  </si>
  <si>
    <t>GROMMET</t>
  </si>
  <si>
    <t>Gum Tape</t>
  </si>
  <si>
    <t>Hanger Bag</t>
  </si>
  <si>
    <t>HANGER FOAM</t>
  </si>
  <si>
    <t>Hanger Hook</t>
  </si>
  <si>
    <t>Hanger Loop</t>
  </si>
  <si>
    <t>Heat Seal</t>
  </si>
  <si>
    <t>Hook</t>
  </si>
  <si>
    <t>Hook &amp; Eye</t>
  </si>
  <si>
    <t>Inserts</t>
  </si>
  <si>
    <t>LACE CUTTING</t>
  </si>
  <si>
    <t>Leaflet</t>
  </si>
  <si>
    <t>Loop</t>
  </si>
  <si>
    <t>Loop Locker</t>
  </si>
  <si>
    <t>Main label</t>
  </si>
  <si>
    <t>MOBILON TAPE</t>
  </si>
  <si>
    <t>Motif</t>
  </si>
  <si>
    <t>Patch</t>
  </si>
  <si>
    <t>PLAT FORM</t>
  </si>
  <si>
    <t>Polybag</t>
  </si>
  <si>
    <t>Polythene Roll</t>
  </si>
  <si>
    <t>POM</t>
  </si>
  <si>
    <t>Revert</t>
  </si>
  <si>
    <t>Ring</t>
  </si>
  <si>
    <t>Rings &amp; Slides</t>
  </si>
  <si>
    <t>Rubber Tape</t>
  </si>
  <si>
    <t>Sequins</t>
  </si>
  <si>
    <t>Service Item</t>
  </si>
  <si>
    <t>Size Sticker</t>
  </si>
  <si>
    <t>Slides</t>
  </si>
  <si>
    <t>STONE</t>
  </si>
  <si>
    <t>SWING TICKET</t>
  </si>
  <si>
    <t>Tape</t>
  </si>
  <si>
    <t>Thread</t>
  </si>
  <si>
    <t>Wash</t>
  </si>
  <si>
    <t>Washer</t>
  </si>
  <si>
    <t>Waterfall Pack</t>
  </si>
  <si>
    <t>Zipper</t>
  </si>
  <si>
    <t>ZIPPER PULLER</t>
  </si>
  <si>
    <t>Supplier Nomination Status</t>
  </si>
  <si>
    <t xml:space="preserve">Supplier Nomination Status </t>
  </si>
  <si>
    <t>SOLE NOMINATED - SN</t>
  </si>
  <si>
    <t>NON NOMINATED - NN</t>
  </si>
  <si>
    <t>APPROVED WITH MULTIPLE VENDORS - AM</t>
  </si>
  <si>
    <t>GILDAN USA INC - GIL01629</t>
  </si>
  <si>
    <t>GILDAN - Ladies Underwear / Cotton Rigid - I02</t>
  </si>
  <si>
    <t>GILDAN - Ladies Underwear/Cotton Stretch - I03</t>
  </si>
  <si>
    <t>GILDAN - LadiesUnderwear/Synthetic Rigid - I04</t>
  </si>
  <si>
    <t>GILDAN-LadiesUnderwear/Synthetic Stretch - I05</t>
  </si>
  <si>
    <t>EBA - Essentials Batticaloa 1</t>
  </si>
  <si>
    <t>140 - Brandix Essentials Limited</t>
  </si>
  <si>
    <t>Eranda Rajakaruna - BE3238</t>
  </si>
  <si>
    <t>Yuganthan Nallusamy - BER2009</t>
  </si>
  <si>
    <t>SP 17</t>
  </si>
  <si>
    <t>FOB</t>
  </si>
  <si>
    <t>A1</t>
  </si>
  <si>
    <t>EARLY JUNE</t>
  </si>
  <si>
    <t>CPO 1</t>
  </si>
  <si>
    <t>BLACK -  001001</t>
  </si>
  <si>
    <t>001</t>
  </si>
  <si>
    <t>WEFT 92%COT8%ELAS-LPSJ561412/B</t>
  </si>
  <si>
    <t>WEFT 92% COT 8% ELAS  SOLID 190GSM 59"-LPSJ561412/B</t>
  </si>
  <si>
    <t>F2CS7SIJ</t>
  </si>
  <si>
    <t>49 Days</t>
  </si>
  <si>
    <t>Ashan Tharaka-BER113</t>
  </si>
  <si>
    <t>F2CS7SIJHTR</t>
  </si>
  <si>
    <t>56 Days</t>
  </si>
  <si>
    <t>100%CO SJ SD-LPSJ184703</t>
  </si>
  <si>
    <t>WEFT 100% COT SJ SOLID 115GSM 59"-LPSJ184703</t>
  </si>
  <si>
    <t>F2HCTSIJ</t>
  </si>
  <si>
    <t>45 days</t>
  </si>
  <si>
    <t>All</t>
  </si>
  <si>
    <t>WB - B5836-28mm</t>
  </si>
  <si>
    <t>Yarn Dyed WB - B5836-28mm</t>
  </si>
  <si>
    <t>MTR - Meters</t>
  </si>
  <si>
    <t>-5% +5%</t>
  </si>
  <si>
    <t>BLACK  W/WHITE LOGO</t>
  </si>
  <si>
    <t>Bikini</t>
  </si>
  <si>
    <t>PRC</t>
  </si>
  <si>
    <t>Leg  - SW40872/7mm</t>
  </si>
  <si>
    <t>QF1899AD</t>
  </si>
  <si>
    <t>WHITE - 100100</t>
  </si>
  <si>
    <t>100</t>
  </si>
  <si>
    <t xml:space="preserve">WHITE W/BLACK LOGO </t>
  </si>
  <si>
    <t>COSTING ONLY</t>
  </si>
  <si>
    <t>ALL</t>
  </si>
  <si>
    <t>CEA189F6</t>
  </si>
  <si>
    <t>WB - SP02006/20mm</t>
  </si>
  <si>
    <t>Printed WB - SP02006/20mm</t>
  </si>
  <si>
    <t>70 Days</t>
  </si>
  <si>
    <t xml:space="preserve">Leg  - SP002062/10mm </t>
  </si>
  <si>
    <t xml:space="preserve">Printed Leg  - SP002062/10mm </t>
  </si>
  <si>
    <t>S/THRED 120 tkt Astra</t>
  </si>
  <si>
    <t>SEWING THREAD 120 TKT-ASTRA-2500M CONES</t>
  </si>
  <si>
    <t>7 days</t>
  </si>
  <si>
    <t>S/THRED 160 tkt Gramax</t>
  </si>
  <si>
    <t>SEWING THREAD T160-GRAMAX-2500M CONES</t>
  </si>
  <si>
    <t>C1712</t>
  </si>
  <si>
    <t>C9770</t>
  </si>
  <si>
    <t>A-L25-CALL0410-Label</t>
  </si>
  <si>
    <t>White</t>
  </si>
  <si>
    <t>21 Days</t>
  </si>
  <si>
    <t>DATE LABEL-TF</t>
  </si>
  <si>
    <t>POLYBAG</t>
  </si>
  <si>
    <t>18"W X 13"L</t>
  </si>
  <si>
    <t>14 days</t>
  </si>
  <si>
    <t>Polybag_LDPE 18"W X 13"L X 120G  without hanger hole</t>
  </si>
  <si>
    <t>DATE LABEL-TF - 12.16</t>
  </si>
  <si>
    <t>AHK01</t>
  </si>
  <si>
    <t>CPO 2</t>
  </si>
  <si>
    <t>A2</t>
  </si>
  <si>
    <t>KOR</t>
  </si>
  <si>
    <t>CPO 3</t>
  </si>
  <si>
    <t>A3</t>
  </si>
  <si>
    <t>CPO 4</t>
  </si>
  <si>
    <t>EARLY JUNE - PENDING</t>
  </si>
  <si>
    <t>A4</t>
  </si>
  <si>
    <t>HT-903166</t>
  </si>
  <si>
    <t>WOMEN'S CK ID HANGTAG - BIKINI, HT-903166</t>
  </si>
  <si>
    <t>SML (HONG KONG) LIMITED-SML12904</t>
  </si>
  <si>
    <t>14 Days</t>
  </si>
  <si>
    <t>TREND LINK INDUSTRIAL CO., LTD - HK-TRE14190</t>
  </si>
  <si>
    <t>YVONNE INDUSTRIAL CO LTD - HK-YVO07597</t>
  </si>
  <si>
    <t>BOXEND STICKER-CKUW_AS_TB_BXN-QF1899AD-PRC</t>
  </si>
  <si>
    <t>BOXEND STICKER-CKUW_AS_TB_BXN-QF1899AD-HK</t>
  </si>
  <si>
    <t>BOXEND STICKER-CKUW_AS_TB_BXN-QF1899AD-KOREA</t>
  </si>
  <si>
    <t>UPC Sticker - CKUW_AS_TB_UPC-QF1899AD-PRC</t>
  </si>
  <si>
    <t>UPC Sticker - CKUW_AS_TB_UPC-QF1899AD-HK</t>
  </si>
  <si>
    <t>UPC Sticker - CKUW_KR_TB_UPC-QF1899AD-KOREA</t>
  </si>
  <si>
    <t>7 Days</t>
  </si>
  <si>
    <t>FINE LINE SUPPLIERS --FIN01596</t>
  </si>
  <si>
    <t>23CM BLACK LOOP KIMBOLE </t>
  </si>
  <si>
    <t>PRC Retail STKR-CKU_PRC_PL</t>
  </si>
  <si>
    <t>PRC Retail STKR-CKU_PRC_PL(Season_Color code_Price)QF1899AD</t>
  </si>
  <si>
    <t xml:space="preserve">A1  </t>
  </si>
  <si>
    <t xml:space="preserve">A2  </t>
  </si>
  <si>
    <t>Asia Hang Tag -KPT11HT-BW1-QF1899AD-BIKINI-PRC</t>
  </si>
  <si>
    <t>Asia HangTag-KPT11HT-BW1-PRC</t>
  </si>
  <si>
    <t>BOXEND STICKER-PRC</t>
  </si>
  <si>
    <t>UPC STICKER-PRC</t>
  </si>
  <si>
    <t>Asia HangTag-KPT11HT-BW1-HK</t>
  </si>
  <si>
    <t>Asia Hang Tag -KPT11HT-BW1-QF1899AD-BIKINI-HK</t>
  </si>
  <si>
    <t>Asia Tag-KPT-IPTAG-V4-HK</t>
  </si>
  <si>
    <t>Asia Tag-KPT-IPTAG-V4-QF1899AD-BIKINI-HK</t>
  </si>
  <si>
    <t>BOXEND STICKER-HK</t>
  </si>
  <si>
    <t>UPC STICKER-HK</t>
  </si>
  <si>
    <t>Asia Tag-KPT-IPTAG-V4-QF1899AD-BIKINI-KOREA</t>
  </si>
  <si>
    <t>Asia Tag-KPT-IPTAG-V4-KOREA</t>
  </si>
  <si>
    <t>Asia Hang Tag -KPT11HT-BW1-QF1899AD-BIKINI-KOREA</t>
  </si>
  <si>
    <t>Asia HangTag-KPT11HT-BW1-KOREA</t>
  </si>
  <si>
    <t>BOXEND STICKER-KOREA</t>
  </si>
  <si>
    <t>UPC STICKER-KOREA</t>
  </si>
  <si>
    <t>A-L25-CALL0410-BR223SCU2-QF1899AD-FID436</t>
  </si>
  <si>
    <t>Order quantity</t>
  </si>
  <si>
    <t>Requirement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</si>
</sst>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000"/>
    <numFmt numFmtId="165" formatCode="#,##0.0000"/>
    <numFmt numFmtId="166" formatCode="[$-409]d\-mmm\-yy;@"/>
    <numFmt numFmtId="167" formatCode="&quot;$&quot;#,##0.0000"/>
    <numFmt numFmtId="168" formatCode="0.0000"/>
    <numFmt numFmtId="169" formatCode="#,##0.0000000"/>
    <numFmt numFmtId="170" formatCode="0.000000"/>
  </numFmts>
  <fonts count="15" x14ac:knownFonts="1">
    <font>
      <sz val="11"/>
      <color theme="1"/>
      <name val="Calibri"/>
      <family val="2"/>
      <scheme val="minor"/>
    </font>
    <font>
      <sz val="11"/>
      <color theme="1"/>
      <name val="Calibri"/>
      <family val="2"/>
      <scheme val="minor"/>
    </font>
    <font>
      <sz val="8"/>
      <name val="Calibri"/>
      <family val="2"/>
      <scheme val="minor"/>
    </font>
    <font>
      <sz val="8"/>
      <color theme="1"/>
      <name val="Calibri"/>
      <family val="2"/>
      <scheme val="minor"/>
    </font>
    <font>
      <sz val="8"/>
      <color rgb="FF000000"/>
      <name val="Calibri"/>
      <family val="2"/>
      <scheme val="minor"/>
    </font>
    <font>
      <sz val="8"/>
      <color rgb="FF1F497D"/>
      <name val="Calibri"/>
      <family val="2"/>
      <scheme val="minor"/>
    </font>
    <font>
      <b/>
      <sz val="8"/>
      <color theme="1"/>
      <name val="Calibri"/>
      <family val="2"/>
      <scheme val="minor"/>
    </font>
    <font>
      <u/>
      <sz val="8"/>
      <name val="Calibri"/>
      <family val="2"/>
      <scheme val="minor"/>
    </font>
    <font>
      <sz val="8"/>
      <color theme="0"/>
      <name val="Calibri"/>
      <family val="2"/>
      <scheme val="minor"/>
    </font>
    <font>
      <b/>
      <sz val="11"/>
      <name val="Calibri"/>
      <family val="2"/>
      <scheme val="minor"/>
    </font>
    <font>
      <sz val="11"/>
      <name val="Calibri"/>
      <family val="2"/>
      <scheme val="minor"/>
    </font>
    <font>
      <b/>
      <sz val="8"/>
      <color theme="0"/>
      <name val="Calibri"/>
      <family val="2"/>
      <scheme val="minor"/>
    </font>
    <font>
      <sz val="10"/>
      <name val="Arial"/>
      <family val="2"/>
    </font>
    <font>
      <strike/>
      <sz val="8"/>
      <name val="Calibri"/>
      <family val="2"/>
      <scheme val="minor"/>
    </font>
    <font>
      <strike/>
      <sz val="8"/>
      <color theme="1"/>
      <name val="Calibri"/>
      <family val="2"/>
      <scheme val="minor"/>
    </font>
  </fonts>
  <fills count="19">
    <fill>
      <patternFill patternType="none"/>
    </fill>
    <fill>
      <patternFill patternType="gray125"/>
    </fill>
    <fill>
      <patternFill patternType="solid">
        <fgColor theme="4" tint="0.79998168889431442"/>
        <bgColor indexed="65"/>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8"/>
        <bgColor theme="8"/>
      </patternFill>
    </fill>
    <fill>
      <patternFill patternType="solid">
        <fgColor theme="7"/>
        <bgColor theme="7"/>
      </patternFill>
    </fill>
    <fill>
      <patternFill patternType="solid">
        <fgColor theme="7" tint="0.79998168889431442"/>
        <bgColor theme="7" tint="0.79998168889431442"/>
      </patternFill>
    </fill>
    <fill>
      <patternFill patternType="solid">
        <fgColor rgb="FF7030A0"/>
        <bgColor indexed="64"/>
      </patternFill>
    </fill>
  </fills>
  <borders count="24">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s>
  <cellStyleXfs count="4">
    <xf numFmtId="0" fontId="0" fillId="0" borderId="0"/>
    <xf numFmtId="9" fontId="1" fillId="0" borderId="0" applyFont="0" applyFill="0" applyBorder="0" applyAlignment="0" applyProtection="0"/>
    <xf numFmtId="0" fontId="1" fillId="2" borderId="0" applyNumberFormat="0" applyBorder="0" applyAlignment="0" applyProtection="0"/>
    <xf numFmtId="0" fontId="12" fillId="0" borderId="0"/>
  </cellStyleXfs>
  <cellXfs count="163">
    <xf numFmtId="0" fontId="0" fillId="0" borderId="0" xfId="0"/>
    <xf numFmtId="0" fontId="2" fillId="3" borderId="1" xfId="0" applyFont="1" applyFill="1" applyBorder="1" applyAlignment="1">
      <alignment horizontal="left" vertical="center" wrapText="1"/>
    </xf>
    <xf numFmtId="0" fontId="2" fillId="4" borderId="2" xfId="0" applyFont="1" applyFill="1" applyBorder="1" applyAlignment="1">
      <alignment horizontal="left" vertical="center"/>
    </xf>
    <xf numFmtId="0" fontId="2" fillId="5" borderId="0" xfId="0" applyFont="1" applyFill="1" applyBorder="1" applyAlignment="1">
      <alignment horizontal="left" vertical="center"/>
    </xf>
    <xf numFmtId="0" fontId="2" fillId="0" borderId="0" xfId="0" applyFont="1" applyFill="1" applyBorder="1" applyAlignment="1" applyProtection="1">
      <alignment horizontal="left" vertical="top"/>
    </xf>
    <xf numFmtId="0" fontId="2" fillId="6" borderId="0" xfId="0" applyFont="1" applyFill="1" applyBorder="1" applyAlignment="1" applyProtection="1">
      <alignment horizontal="left" vertical="top"/>
    </xf>
    <xf numFmtId="164" fontId="2" fillId="6" borderId="0" xfId="0" applyNumberFormat="1" applyFont="1" applyFill="1" applyBorder="1" applyAlignment="1" applyProtection="1">
      <alignment horizontal="left" vertical="top"/>
    </xf>
    <xf numFmtId="9" fontId="2" fillId="6" borderId="0" xfId="1" applyFont="1" applyFill="1" applyBorder="1" applyAlignment="1" applyProtection="1">
      <alignment horizontal="left" vertical="top"/>
    </xf>
    <xf numFmtId="165" fontId="2" fillId="6" borderId="0" xfId="0" applyNumberFormat="1" applyFont="1" applyFill="1" applyBorder="1" applyAlignment="1" applyProtection="1">
      <alignment horizontal="left" vertical="top"/>
    </xf>
    <xf numFmtId="0" fontId="3" fillId="6" borderId="0" xfId="0" applyFont="1" applyFill="1" applyBorder="1" applyAlignment="1">
      <alignment horizontal="left"/>
    </xf>
    <xf numFmtId="0" fontId="2" fillId="0" borderId="0" xfId="0" applyFont="1" applyFill="1" applyBorder="1" applyAlignment="1">
      <alignment horizontal="left" vertical="center"/>
    </xf>
    <xf numFmtId="0" fontId="2" fillId="0" borderId="0" xfId="0" applyFont="1" applyBorder="1" applyAlignment="1">
      <alignment horizontal="left"/>
    </xf>
    <xf numFmtId="0" fontId="2" fillId="3" borderId="1" xfId="0" applyFont="1" applyFill="1" applyBorder="1" applyAlignment="1">
      <alignment horizontal="left" vertical="center"/>
    </xf>
    <xf numFmtId="0" fontId="2" fillId="4" borderId="0" xfId="0" applyFont="1" applyFill="1" applyAlignment="1">
      <alignment horizontal="left"/>
    </xf>
    <xf numFmtId="0" fontId="2" fillId="3" borderId="2" xfId="0" applyFont="1" applyFill="1" applyBorder="1" applyAlignment="1">
      <alignment horizontal="left" vertical="center"/>
    </xf>
    <xf numFmtId="0" fontId="2" fillId="5" borderId="0" xfId="0" applyFont="1" applyFill="1" applyBorder="1" applyAlignment="1">
      <alignment horizontal="left" vertical="center" wrapText="1"/>
    </xf>
    <xf numFmtId="0" fontId="2" fillId="0" borderId="0" xfId="0" applyFont="1" applyFill="1" applyBorder="1" applyAlignment="1">
      <alignment horizontal="left"/>
    </xf>
    <xf numFmtId="0" fontId="3" fillId="5" borderId="0" xfId="2" applyFont="1" applyFill="1" applyBorder="1" applyAlignment="1">
      <alignment horizontal="left" vertical="center"/>
    </xf>
    <xf numFmtId="0" fontId="3" fillId="3" borderId="3" xfId="2" applyFont="1" applyFill="1" applyBorder="1" applyAlignment="1">
      <alignment horizontal="left" vertical="center" wrapText="1"/>
    </xf>
    <xf numFmtId="0" fontId="3" fillId="7" borderId="3" xfId="2" applyNumberFormat="1" applyFont="1" applyFill="1" applyBorder="1" applyAlignment="1">
      <alignment horizontal="left" vertical="center" wrapText="1"/>
    </xf>
    <xf numFmtId="0" fontId="3" fillId="7" borderId="3" xfId="2" applyFont="1" applyFill="1" applyBorder="1" applyAlignment="1">
      <alignment horizontal="left" vertical="center" wrapText="1"/>
    </xf>
    <xf numFmtId="0" fontId="3" fillId="8" borderId="3" xfId="2" applyFont="1" applyFill="1" applyBorder="1" applyAlignment="1">
      <alignment horizontal="left" vertical="center" wrapText="1"/>
    </xf>
    <xf numFmtId="164" fontId="3" fillId="3" borderId="3" xfId="2" applyNumberFormat="1" applyFont="1" applyFill="1" applyBorder="1" applyAlignment="1">
      <alignment horizontal="left" vertical="center" wrapText="1"/>
    </xf>
    <xf numFmtId="9" fontId="3" fillId="3" borderId="3" xfId="1" applyFont="1" applyFill="1" applyBorder="1" applyAlignment="1">
      <alignment horizontal="left" vertical="center" wrapText="1"/>
    </xf>
    <xf numFmtId="165" fontId="3" fillId="3" borderId="3" xfId="2" applyNumberFormat="1" applyFont="1" applyFill="1" applyBorder="1" applyAlignment="1">
      <alignment horizontal="left" vertical="center" wrapText="1"/>
    </xf>
    <xf numFmtId="0" fontId="2" fillId="3" borderId="3" xfId="0" applyFont="1" applyFill="1" applyBorder="1" applyAlignment="1">
      <alignment horizontal="left" vertical="center" wrapText="1"/>
    </xf>
    <xf numFmtId="0" fontId="2" fillId="3" borderId="0" xfId="0" applyFont="1" applyFill="1" applyBorder="1" applyAlignment="1">
      <alignment horizontal="left" vertical="center" wrapText="1"/>
    </xf>
    <xf numFmtId="0" fontId="4" fillId="0" borderId="0" xfId="0" applyFont="1" applyBorder="1" applyAlignment="1">
      <alignment horizontal="left"/>
    </xf>
    <xf numFmtId="0" fontId="3" fillId="0" borderId="0" xfId="0" applyFont="1" applyBorder="1" applyAlignment="1">
      <alignment horizontal="left"/>
    </xf>
    <xf numFmtId="0" fontId="3" fillId="0" borderId="0" xfId="0" applyFont="1" applyFill="1" applyBorder="1" applyAlignment="1">
      <alignment horizontal="left"/>
    </xf>
    <xf numFmtId="0" fontId="2" fillId="0" borderId="0" xfId="0" applyFont="1" applyFill="1" applyBorder="1" applyAlignment="1">
      <alignment horizontal="left" vertical="center" wrapText="1"/>
    </xf>
    <xf numFmtId="164" fontId="2" fillId="0" borderId="0" xfId="0" applyNumberFormat="1" applyFont="1" applyFill="1" applyBorder="1" applyAlignment="1">
      <alignment horizontal="left" vertical="center"/>
    </xf>
    <xf numFmtId="9" fontId="2" fillId="0" borderId="0" xfId="1" applyFont="1" applyFill="1" applyBorder="1" applyAlignment="1">
      <alignment horizontal="left" vertical="center"/>
    </xf>
    <xf numFmtId="165" fontId="2" fillId="0" borderId="0" xfId="0" applyNumberFormat="1" applyFont="1" applyFill="1" applyBorder="1" applyAlignment="1">
      <alignment horizontal="left" vertical="center"/>
    </xf>
    <xf numFmtId="0" fontId="6" fillId="0" borderId="3" xfId="0" applyNumberFormat="1" applyFont="1" applyBorder="1" applyAlignment="1">
      <alignment horizontal="left"/>
    </xf>
    <xf numFmtId="9" fontId="3" fillId="9" borderId="3" xfId="1" applyFont="1" applyFill="1" applyBorder="1" applyAlignment="1" applyProtection="1">
      <alignment horizontal="left"/>
      <protection locked="0"/>
    </xf>
    <xf numFmtId="0" fontId="3" fillId="0" borderId="0" xfId="0" applyNumberFormat="1" applyFont="1" applyAlignment="1">
      <alignment horizontal="left"/>
    </xf>
    <xf numFmtId="0" fontId="3" fillId="0" borderId="2" xfId="0" applyNumberFormat="1" applyFont="1" applyBorder="1" applyAlignment="1">
      <alignment horizontal="left"/>
    </xf>
    <xf numFmtId="0" fontId="3" fillId="9" borderId="3" xfId="0" applyNumberFormat="1" applyFont="1" applyFill="1" applyBorder="1" applyAlignment="1" applyProtection="1">
      <alignment horizontal="left"/>
      <protection locked="0"/>
    </xf>
    <xf numFmtId="0" fontId="3" fillId="0" borderId="2" xfId="0" applyNumberFormat="1" applyFont="1" applyBorder="1" applyAlignment="1">
      <alignment horizontal="left" wrapText="1"/>
    </xf>
    <xf numFmtId="0" fontId="3" fillId="3" borderId="3" xfId="0" applyNumberFormat="1" applyFont="1" applyFill="1" applyBorder="1" applyAlignment="1">
      <alignment horizontal="left"/>
    </xf>
    <xf numFmtId="0" fontId="3" fillId="3" borderId="2" xfId="0" applyNumberFormat="1" applyFont="1" applyFill="1" applyBorder="1" applyAlignment="1">
      <alignment horizontal="left"/>
    </xf>
    <xf numFmtId="0" fontId="3" fillId="9" borderId="4" xfId="0" applyNumberFormat="1" applyFont="1" applyFill="1" applyBorder="1" applyAlignment="1" applyProtection="1">
      <alignment horizontal="left"/>
      <protection locked="0"/>
    </xf>
    <xf numFmtId="0" fontId="2" fillId="3" borderId="3" xfId="0" applyNumberFormat="1" applyFont="1" applyFill="1" applyBorder="1" applyAlignment="1" applyProtection="1">
      <alignment horizontal="left" vertical="center"/>
      <protection locked="0"/>
    </xf>
    <xf numFmtId="0" fontId="2" fillId="4" borderId="3" xfId="0" applyNumberFormat="1" applyFont="1" applyFill="1" applyBorder="1" applyAlignment="1" applyProtection="1">
      <alignment horizontal="left" vertical="center"/>
      <protection locked="0"/>
    </xf>
    <xf numFmtId="166" fontId="2"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vertical="center"/>
      <protection locked="0"/>
    </xf>
    <xf numFmtId="167" fontId="2" fillId="0" borderId="0" xfId="0" applyNumberFormat="1" applyFont="1" applyFill="1" applyBorder="1" applyAlignment="1" applyProtection="1">
      <alignment horizontal="left" vertical="center"/>
      <protection locked="0"/>
    </xf>
    <xf numFmtId="49" fontId="2" fillId="0" borderId="0" xfId="0" applyNumberFormat="1" applyFont="1" applyFill="1" applyBorder="1" applyAlignment="1" applyProtection="1">
      <alignment horizontal="left" vertical="center"/>
      <protection locked="0"/>
    </xf>
    <xf numFmtId="166" fontId="7" fillId="0" borderId="0"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left" vertical="center"/>
      <protection locked="0"/>
    </xf>
    <xf numFmtId="0" fontId="8" fillId="0" borderId="0" xfId="0" applyNumberFormat="1" applyFont="1" applyFill="1" applyBorder="1" applyAlignment="1" applyProtection="1">
      <alignment horizontal="left" vertical="center"/>
      <protection locked="0"/>
    </xf>
    <xf numFmtId="166" fontId="3" fillId="0" borderId="0" xfId="2" applyNumberFormat="1" applyFont="1" applyFill="1" applyBorder="1" applyAlignment="1" applyProtection="1">
      <alignment horizontal="left" vertical="center"/>
      <protection locked="0"/>
    </xf>
    <xf numFmtId="0" fontId="3" fillId="0" borderId="0" xfId="2"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vertical="center" wrapText="1"/>
      <protection locked="0"/>
    </xf>
    <xf numFmtId="0" fontId="2" fillId="3" borderId="3" xfId="0" applyNumberFormat="1" applyFont="1" applyFill="1" applyBorder="1" applyAlignment="1" applyProtection="1">
      <alignment horizontal="left" vertical="top" wrapText="1"/>
      <protection locked="0"/>
    </xf>
    <xf numFmtId="166" fontId="3" fillId="3" borderId="3" xfId="2" applyNumberFormat="1" applyFont="1" applyFill="1" applyBorder="1" applyAlignment="1" applyProtection="1">
      <alignment horizontal="left" vertical="top" wrapText="1"/>
      <protection locked="0"/>
    </xf>
    <xf numFmtId="0" fontId="3" fillId="3" borderId="3" xfId="2" applyNumberFormat="1" applyFont="1" applyFill="1" applyBorder="1" applyAlignment="1" applyProtection="1">
      <alignment horizontal="left" vertical="top" wrapText="1"/>
      <protection locked="0"/>
    </xf>
    <xf numFmtId="167" fontId="3" fillId="3" borderId="3" xfId="2" applyNumberFormat="1" applyFont="1" applyFill="1" applyBorder="1" applyAlignment="1" applyProtection="1">
      <alignment horizontal="left" vertical="top" wrapText="1"/>
      <protection locked="0"/>
    </xf>
    <xf numFmtId="0" fontId="2" fillId="3" borderId="3" xfId="0" applyNumberFormat="1" applyFont="1" applyFill="1" applyBorder="1" applyAlignment="1" applyProtection="1">
      <alignment horizontal="left" vertical="top"/>
      <protection locked="0"/>
    </xf>
    <xf numFmtId="49" fontId="2" fillId="3" borderId="3" xfId="0" applyNumberFormat="1" applyFont="1" applyFill="1" applyBorder="1" applyAlignment="1" applyProtection="1">
      <alignment horizontal="left" vertical="top" wrapText="1"/>
      <protection locked="0"/>
    </xf>
    <xf numFmtId="0" fontId="2" fillId="3" borderId="0" xfId="0" applyNumberFormat="1" applyFont="1" applyFill="1" applyBorder="1" applyAlignment="1" applyProtection="1">
      <alignment horizontal="left" vertical="top" wrapText="1"/>
      <protection locked="0"/>
    </xf>
    <xf numFmtId="0" fontId="2" fillId="0" borderId="3" xfId="0" applyNumberFormat="1" applyFont="1" applyFill="1" applyBorder="1" applyAlignment="1" applyProtection="1">
      <alignment horizontal="left" vertical="center"/>
      <protection locked="0"/>
    </xf>
    <xf numFmtId="166" fontId="2" fillId="0" borderId="3" xfId="0" applyNumberFormat="1" applyFont="1" applyFill="1" applyBorder="1" applyAlignment="1" applyProtection="1">
      <alignment horizontal="left" vertical="center"/>
      <protection locked="0"/>
    </xf>
    <xf numFmtId="0" fontId="2" fillId="0" borderId="3" xfId="0" applyNumberFormat="1" applyFont="1" applyFill="1" applyBorder="1" applyAlignment="1" applyProtection="1">
      <alignment horizontal="left" vertical="center" wrapText="1"/>
      <protection locked="0"/>
    </xf>
    <xf numFmtId="49" fontId="2" fillId="0" borderId="3" xfId="0" applyNumberFormat="1" applyFont="1" applyFill="1" applyBorder="1" applyAlignment="1" applyProtection="1">
      <alignment horizontal="left" vertical="center"/>
      <protection locked="0"/>
    </xf>
    <xf numFmtId="0" fontId="9" fillId="10" borderId="0" xfId="0" applyFont="1" applyFill="1" applyAlignment="1">
      <alignment horizontal="left" vertical="top"/>
    </xf>
    <xf numFmtId="0" fontId="10" fillId="0" borderId="0" xfId="0" applyFont="1" applyFill="1" applyAlignment="1">
      <alignment horizontal="left" vertical="top"/>
    </xf>
    <xf numFmtId="0" fontId="10" fillId="0" borderId="0" xfId="0" applyFont="1" applyAlignment="1">
      <alignment horizontal="left" vertical="top"/>
    </xf>
    <xf numFmtId="0" fontId="9" fillId="0" borderId="3" xfId="0" applyFont="1" applyBorder="1" applyAlignment="1">
      <alignment horizontal="left" vertical="top"/>
    </xf>
    <xf numFmtId="0" fontId="9" fillId="0" borderId="3" xfId="0" applyFont="1" applyFill="1" applyBorder="1" applyAlignment="1">
      <alignment horizontal="left" vertical="top"/>
    </xf>
    <xf numFmtId="0" fontId="9" fillId="0" borderId="5" xfId="0" applyFont="1" applyBorder="1" applyAlignment="1">
      <alignment horizontal="left" vertical="top"/>
    </xf>
    <xf numFmtId="0" fontId="9" fillId="0" borderId="0" xfId="0" applyFont="1" applyAlignment="1">
      <alignment horizontal="left" vertical="top"/>
    </xf>
    <xf numFmtId="0" fontId="10" fillId="0" borderId="6" xfId="0" applyNumberFormat="1" applyFont="1" applyBorder="1" applyAlignment="1">
      <alignment horizontal="left" vertical="top"/>
    </xf>
    <xf numFmtId="0" fontId="10" fillId="0" borderId="7" xfId="0" applyNumberFormat="1" applyFont="1" applyBorder="1" applyAlignment="1">
      <alignment horizontal="left" vertical="top"/>
    </xf>
    <xf numFmtId="0" fontId="10" fillId="0" borderId="8" xfId="0" applyNumberFormat="1" applyFont="1" applyBorder="1" applyAlignment="1">
      <alignment horizontal="left" vertical="top"/>
    </xf>
    <xf numFmtId="0" fontId="10" fillId="11" borderId="9" xfId="0" applyNumberFormat="1" applyFont="1" applyFill="1" applyBorder="1" applyAlignment="1">
      <alignment horizontal="left" vertical="top"/>
    </xf>
    <xf numFmtId="0" fontId="10" fillId="13" borderId="13" xfId="0" applyNumberFormat="1" applyFont="1" applyFill="1" applyBorder="1" applyAlignment="1">
      <alignment horizontal="left" vertical="top"/>
    </xf>
    <xf numFmtId="0" fontId="10" fillId="14" borderId="14" xfId="0" applyNumberFormat="1" applyFont="1" applyFill="1" applyBorder="1" applyAlignment="1">
      <alignment horizontal="left" vertical="top"/>
    </xf>
    <xf numFmtId="0" fontId="10" fillId="0" borderId="3" xfId="0" applyFont="1" applyBorder="1" applyAlignment="1">
      <alignment horizontal="left" vertical="top"/>
    </xf>
    <xf numFmtId="0" fontId="10" fillId="0" borderId="3" xfId="0" applyFont="1" applyFill="1" applyBorder="1" applyAlignment="1">
      <alignment horizontal="left" vertical="top"/>
    </xf>
    <xf numFmtId="0" fontId="10" fillId="0" borderId="4" xfId="0" applyFont="1" applyBorder="1" applyAlignment="1">
      <alignment horizontal="left" vertical="top" wrapText="1"/>
    </xf>
    <xf numFmtId="0" fontId="10" fillId="0" borderId="3" xfId="0" applyFont="1" applyBorder="1" applyAlignment="1">
      <alignment horizontal="left" vertical="top" wrapText="1"/>
    </xf>
    <xf numFmtId="0" fontId="10" fillId="0" borderId="0" xfId="0" applyFont="1" applyBorder="1" applyAlignment="1">
      <alignment horizontal="left" vertical="top"/>
    </xf>
    <xf numFmtId="0" fontId="10" fillId="0" borderId="0" xfId="0" applyFont="1" applyFill="1" applyBorder="1" applyAlignment="1">
      <alignment horizontal="left" vertical="top"/>
    </xf>
    <xf numFmtId="0" fontId="10" fillId="0" borderId="3" xfId="0" applyFont="1" applyFill="1" applyBorder="1" applyAlignment="1">
      <alignment horizontal="left" vertical="top" wrapText="1"/>
    </xf>
    <xf numFmtId="0" fontId="10" fillId="0" borderId="0" xfId="0" applyFont="1" applyFill="1" applyAlignment="1">
      <alignment horizontal="left" vertical="top" wrapText="1"/>
    </xf>
    <xf numFmtId="164" fontId="10" fillId="0" borderId="3" xfId="0" applyNumberFormat="1" applyFont="1" applyBorder="1" applyAlignment="1">
      <alignment horizontal="left" vertical="top"/>
    </xf>
    <xf numFmtId="9" fontId="10" fillId="0" borderId="3" xfId="0" applyNumberFormat="1" applyFont="1" applyBorder="1" applyAlignment="1">
      <alignment horizontal="left" vertical="top"/>
    </xf>
    <xf numFmtId="165" fontId="10" fillId="0" borderId="3" xfId="0" applyNumberFormat="1" applyFont="1" applyBorder="1" applyAlignment="1">
      <alignment horizontal="left" vertical="top"/>
    </xf>
    <xf numFmtId="166" fontId="10" fillId="0" borderId="3" xfId="0" applyNumberFormat="1" applyFont="1" applyBorder="1" applyAlignment="1">
      <alignment horizontal="left" vertical="top"/>
    </xf>
    <xf numFmtId="167" fontId="10" fillId="0" borderId="3" xfId="0" applyNumberFormat="1" applyFont="1" applyBorder="1" applyAlignment="1">
      <alignment horizontal="left" vertical="top"/>
    </xf>
    <xf numFmtId="0" fontId="3" fillId="0" borderId="0" xfId="0" applyFont="1" applyAlignment="1">
      <alignment horizontal="left"/>
    </xf>
    <xf numFmtId="49" fontId="3" fillId="0" borderId="0" xfId="0" applyNumberFormat="1" applyFont="1" applyAlignment="1">
      <alignment horizontal="left"/>
    </xf>
    <xf numFmtId="0" fontId="11" fillId="15" borderId="3" xfId="0" applyFont="1" applyFill="1" applyBorder="1" applyAlignment="1">
      <alignment horizontal="left"/>
    </xf>
    <xf numFmtId="0" fontId="6" fillId="15" borderId="15" xfId="0" applyFont="1" applyFill="1" applyBorder="1" applyAlignment="1">
      <alignment horizontal="left"/>
    </xf>
    <xf numFmtId="0" fontId="2" fillId="0" borderId="0" xfId="3" applyFont="1" applyFill="1" applyBorder="1" applyAlignment="1">
      <alignment horizontal="left"/>
    </xf>
    <xf numFmtId="0" fontId="11" fillId="16" borderId="3" xfId="0" applyFont="1" applyFill="1" applyBorder="1" applyAlignment="1">
      <alignment horizontal="left"/>
    </xf>
    <xf numFmtId="0" fontId="3" fillId="0" borderId="16" xfId="0" applyFont="1" applyBorder="1" applyAlignment="1">
      <alignment horizontal="left"/>
    </xf>
    <xf numFmtId="0" fontId="3" fillId="0" borderId="17" xfId="0" applyFont="1" applyBorder="1" applyAlignment="1">
      <alignment horizontal="left"/>
    </xf>
    <xf numFmtId="0" fontId="6" fillId="0" borderId="0" xfId="0" applyFont="1" applyAlignment="1">
      <alignment horizontal="left"/>
    </xf>
    <xf numFmtId="0" fontId="3" fillId="0" borderId="18" xfId="0" applyFont="1" applyBorder="1" applyAlignment="1">
      <alignment horizontal="left"/>
    </xf>
    <xf numFmtId="0" fontId="3" fillId="10" borderId="19" xfId="0" applyFont="1" applyFill="1" applyBorder="1" applyAlignment="1">
      <alignment horizontal="left"/>
    </xf>
    <xf numFmtId="0" fontId="3" fillId="0" borderId="0" xfId="0" applyFont="1"/>
    <xf numFmtId="0" fontId="3" fillId="0" borderId="0" xfId="0" applyFont="1" applyAlignment="1" applyProtection="1">
      <alignment horizontal="left"/>
      <protection locked="0"/>
    </xf>
    <xf numFmtId="0" fontId="3" fillId="0" borderId="3" xfId="0" applyFont="1" applyBorder="1" applyAlignment="1">
      <alignment horizontal="left"/>
    </xf>
    <xf numFmtId="0" fontId="3" fillId="0" borderId="0" xfId="0" applyNumberFormat="1" applyFont="1" applyBorder="1" applyAlignment="1">
      <alignment horizontal="left"/>
    </xf>
    <xf numFmtId="0" fontId="3" fillId="0" borderId="0" xfId="0" applyFont="1" applyFill="1" applyAlignment="1">
      <alignment horizontal="left"/>
    </xf>
    <xf numFmtId="0" fontId="3" fillId="17" borderId="4" xfId="0" applyFont="1" applyFill="1" applyBorder="1" applyAlignment="1">
      <alignment horizontal="left"/>
    </xf>
    <xf numFmtId="0" fontId="3" fillId="0" borderId="1" xfId="0" applyFont="1" applyBorder="1" applyAlignment="1">
      <alignment horizontal="left"/>
    </xf>
    <xf numFmtId="0" fontId="3" fillId="0" borderId="2" xfId="0" applyFont="1" applyBorder="1" applyAlignment="1">
      <alignment horizontal="left"/>
    </xf>
    <xf numFmtId="0" fontId="3" fillId="0" borderId="20" xfId="0" applyFont="1" applyBorder="1" applyAlignment="1">
      <alignment horizontal="left"/>
    </xf>
    <xf numFmtId="0" fontId="3" fillId="0" borderId="20" xfId="0" applyFont="1" applyBorder="1" applyAlignment="1">
      <alignment horizontal="left" vertical="top" wrapText="1"/>
    </xf>
    <xf numFmtId="0" fontId="3" fillId="0" borderId="21" xfId="0" applyFont="1" applyBorder="1" applyAlignment="1">
      <alignment horizontal="left"/>
    </xf>
    <xf numFmtId="0" fontId="3" fillId="0" borderId="22" xfId="0" applyFont="1" applyBorder="1" applyAlignment="1">
      <alignment horizontal="left"/>
    </xf>
    <xf numFmtId="0" fontId="3" fillId="0" borderId="23" xfId="0" applyFont="1" applyBorder="1" applyAlignment="1">
      <alignment horizontal="left" wrapText="1"/>
    </xf>
    <xf numFmtId="0" fontId="3" fillId="0" borderId="2" xfId="0" applyFont="1" applyBorder="1" applyAlignment="1">
      <alignment horizontal="left" vertical="top" wrapText="1"/>
    </xf>
    <xf numFmtId="0" fontId="3" fillId="0" borderId="23" xfId="0" applyFont="1" applyBorder="1" applyAlignment="1">
      <alignment horizontal="left"/>
    </xf>
    <xf numFmtId="0" fontId="3" fillId="17" borderId="3" xfId="0" applyFont="1" applyFill="1" applyBorder="1" applyAlignment="1">
      <alignment horizontal="left"/>
    </xf>
    <xf numFmtId="0" fontId="3" fillId="0" borderId="0" xfId="0" applyFont="1" applyProtection="1">
      <protection locked="0"/>
    </xf>
    <xf numFmtId="0" fontId="3" fillId="0" borderId="22" xfId="0" applyFont="1" applyBorder="1" applyAlignment="1">
      <alignment horizontal="left" vertical="top" wrapText="1"/>
    </xf>
    <xf numFmtId="0" fontId="2" fillId="0" borderId="0" xfId="0" applyFont="1" applyFill="1" applyAlignment="1">
      <alignment horizontal="left"/>
    </xf>
    <xf numFmtId="0" fontId="0" fillId="0" borderId="0" xfId="0" applyAlignment="1">
      <alignment horizontal="left" vertical="center" indent="5"/>
    </xf>
    <xf numFmtId="0" fontId="3" fillId="0" borderId="0" xfId="0" applyFont="1" applyAlignment="1">
      <alignment horizontal="left" vertical="center"/>
    </xf>
    <xf numFmtId="0" fontId="2" fillId="0" borderId="3" xfId="0" applyFont="1" applyFill="1" applyBorder="1" applyAlignment="1">
      <alignment horizontal="left" vertical="center" wrapText="1"/>
    </xf>
    <xf numFmtId="0" fontId="2" fillId="0" borderId="3" xfId="0" applyFont="1" applyFill="1" applyBorder="1" applyAlignment="1">
      <alignment horizontal="left" vertical="center"/>
    </xf>
    <xf numFmtId="9" fontId="2" fillId="0" borderId="3" xfId="1" applyFont="1" applyFill="1" applyBorder="1" applyAlignment="1">
      <alignment horizontal="left" vertical="center"/>
    </xf>
    <xf numFmtId="165" fontId="2" fillId="0" borderId="3" xfId="0" applyNumberFormat="1" applyFont="1" applyFill="1" applyBorder="1" applyAlignment="1">
      <alignment horizontal="left" vertical="center"/>
    </xf>
    <xf numFmtId="0" fontId="3" fillId="0" borderId="3" xfId="0" applyNumberFormat="1" applyFont="1" applyFill="1" applyBorder="1" applyAlignment="1" applyProtection="1">
      <alignment horizontal="left" vertical="center" wrapText="1"/>
      <protection locked="0"/>
    </xf>
    <xf numFmtId="0" fontId="3" fillId="0" borderId="3" xfId="0" applyFont="1" applyFill="1" applyBorder="1" applyAlignment="1">
      <alignment horizontal="left"/>
    </xf>
    <xf numFmtId="0" fontId="4" fillId="0" borderId="0" xfId="0" applyFont="1" applyFill="1" applyBorder="1" applyAlignment="1">
      <alignment horizontal="left"/>
    </xf>
    <xf numFmtId="0" fontId="5" fillId="0" borderId="0" xfId="0" applyFont="1" applyFill="1" applyBorder="1" applyAlignment="1">
      <alignment horizontal="left"/>
    </xf>
    <xf numFmtId="0" fontId="13" fillId="0" borderId="3" xfId="0" applyFont="1" applyFill="1" applyBorder="1" applyAlignment="1">
      <alignment horizontal="left" vertical="center"/>
    </xf>
    <xf numFmtId="0" fontId="13" fillId="0" borderId="3" xfId="0" applyFont="1" applyFill="1" applyBorder="1" applyAlignment="1">
      <alignment horizontal="left" vertical="center" wrapText="1"/>
    </xf>
    <xf numFmtId="0" fontId="13" fillId="0" borderId="3" xfId="0" applyNumberFormat="1" applyFont="1" applyFill="1" applyBorder="1" applyAlignment="1" applyProtection="1">
      <alignment horizontal="left" vertical="center" wrapText="1"/>
      <protection locked="0"/>
    </xf>
    <xf numFmtId="9" fontId="13" fillId="0" borderId="3" xfId="1" applyFont="1" applyFill="1" applyBorder="1" applyAlignment="1">
      <alignment horizontal="left" vertical="center"/>
    </xf>
    <xf numFmtId="165" fontId="13" fillId="0" borderId="3" xfId="0" applyNumberFormat="1" applyFont="1" applyFill="1" applyBorder="1" applyAlignment="1">
      <alignment horizontal="left" vertical="center"/>
    </xf>
    <xf numFmtId="0" fontId="14" fillId="0" borderId="3" xfId="0" applyNumberFormat="1" applyFont="1" applyFill="1" applyBorder="1" applyAlignment="1" applyProtection="1">
      <alignment horizontal="left" vertical="center" wrapText="1"/>
      <protection locked="0"/>
    </xf>
    <xf numFmtId="168" fontId="13" fillId="0" borderId="3" xfId="0" applyNumberFormat="1" applyFont="1" applyFill="1" applyBorder="1" applyAlignment="1">
      <alignment horizontal="left" vertical="center"/>
    </xf>
    <xf numFmtId="0" fontId="3" fillId="0" borderId="3" xfId="0" applyFont="1" applyFill="1" applyBorder="1" applyAlignment="1">
      <alignment horizontal="left" vertical="center" wrapText="1"/>
    </xf>
    <xf numFmtId="49" fontId="2" fillId="0" borderId="3" xfId="0" applyNumberFormat="1" applyFont="1" applyFill="1" applyBorder="1" applyAlignment="1">
      <alignment horizontal="left" vertical="center" wrapText="1"/>
    </xf>
    <xf numFmtId="168" fontId="2" fillId="0" borderId="3" xfId="0" applyNumberFormat="1" applyFont="1" applyFill="1" applyBorder="1" applyAlignment="1">
      <alignment horizontal="left" vertical="center" wrapText="1"/>
    </xf>
    <xf numFmtId="9" fontId="2" fillId="0" borderId="3" xfId="0" applyNumberFormat="1" applyFont="1" applyFill="1" applyBorder="1" applyAlignment="1">
      <alignment horizontal="left" vertical="center" wrapText="1"/>
    </xf>
    <xf numFmtId="0" fontId="3" fillId="0" borderId="3" xfId="0" applyNumberFormat="1" applyFont="1" applyFill="1" applyBorder="1" applyAlignment="1" applyProtection="1">
      <alignment horizontal="left"/>
      <protection locked="0"/>
    </xf>
    <xf numFmtId="9" fontId="2" fillId="0" borderId="3" xfId="1" applyFont="1" applyFill="1" applyBorder="1" applyAlignment="1">
      <alignment horizontal="left" vertical="center" wrapText="1"/>
    </xf>
    <xf numFmtId="169" fontId="13" fillId="0" borderId="3" xfId="0" applyNumberFormat="1" applyFont="1" applyFill="1" applyBorder="1" applyAlignment="1">
      <alignment horizontal="left" vertical="center"/>
    </xf>
    <xf numFmtId="0" fontId="14" fillId="0" borderId="3" xfId="0" applyFont="1" applyFill="1" applyBorder="1" applyAlignment="1">
      <alignment horizontal="left"/>
    </xf>
    <xf numFmtId="167" fontId="2" fillId="0" borderId="3" xfId="0" applyNumberFormat="1" applyFont="1" applyFill="1" applyBorder="1" applyAlignment="1" applyProtection="1">
      <alignment horizontal="left" vertical="center"/>
      <protection locked="0"/>
    </xf>
    <xf numFmtId="0" fontId="2" fillId="0" borderId="3" xfId="0" applyNumberFormat="1" applyFont="1" applyFill="1" applyBorder="1" applyAlignment="1" applyProtection="1">
      <alignment horizontal="left" vertical="center"/>
    </xf>
    <xf numFmtId="164" fontId="2" fillId="0" borderId="3" xfId="0" applyNumberFormat="1" applyFont="1" applyFill="1" applyBorder="1" applyAlignment="1">
      <alignment horizontal="left" vertical="center" wrapText="1"/>
    </xf>
    <xf numFmtId="165" fontId="2" fillId="0" borderId="3" xfId="0" applyNumberFormat="1" applyFont="1" applyFill="1" applyBorder="1" applyAlignment="1">
      <alignment horizontal="left" vertical="center" wrapText="1"/>
    </xf>
    <xf numFmtId="0" fontId="2" fillId="10" borderId="3" xfId="0" applyFont="1" applyFill="1" applyBorder="1" applyAlignment="1">
      <alignment horizontal="left" vertical="center" wrapText="1"/>
    </xf>
    <xf numFmtId="170" fontId="2" fillId="0" borderId="3" xfId="0" applyNumberFormat="1" applyFont="1" applyFill="1" applyBorder="1" applyAlignment="1">
      <alignment horizontal="left" vertical="center" wrapText="1"/>
    </xf>
    <xf numFmtId="0" fontId="10" fillId="0" borderId="3" xfId="0" applyFont="1" applyBorder="1" applyAlignment="1">
      <alignment horizontal="left" vertical="top"/>
    </xf>
    <xf numFmtId="0" fontId="10" fillId="0" borderId="2" xfId="0" applyFont="1" applyFill="1" applyBorder="1" applyAlignment="1">
      <alignment horizontal="left" vertical="top"/>
    </xf>
    <xf numFmtId="0" fontId="10" fillId="12" borderId="10" xfId="0" applyNumberFormat="1" applyFont="1" applyFill="1" applyBorder="1" applyAlignment="1">
      <alignment horizontal="center" vertical="top"/>
    </xf>
    <xf numFmtId="0" fontId="10" fillId="12" borderId="11" xfId="0" applyNumberFormat="1" applyFont="1" applyFill="1" applyBorder="1" applyAlignment="1">
      <alignment horizontal="center" vertical="top"/>
    </xf>
    <xf numFmtId="0" fontId="10" fillId="12" borderId="12" xfId="0" applyNumberFormat="1" applyFont="1" applyFill="1" applyBorder="1" applyAlignment="1">
      <alignment horizontal="center" vertical="top"/>
    </xf>
    <xf numFmtId="0" fontId="2" fillId="0" borderId="2" xfId="0" applyFont="1" applyFill="1" applyBorder="1" applyAlignment="1">
      <alignment horizontal="left" vertical="center"/>
    </xf>
    <xf numFmtId="0" fontId="3" fillId="18" borderId="3" xfId="2" applyFont="1" applyFill="1" applyBorder="1" applyAlignment="1">
      <alignment horizontal="left" vertical="center" wrapText="1"/>
    </xf>
    <xf numFmtId="0" fontId="2" fillId="11" borderId="3" xfId="0" applyFont="1" applyFill="1" applyBorder="1" applyAlignment="1">
      <alignment horizontal="left" vertical="center" wrapText="1"/>
    </xf>
    <xf numFmtId="0" fontId="2" fillId="11" borderId="0" xfId="0" applyFont="1" applyFill="1" applyBorder="1" applyAlignment="1">
      <alignment horizontal="left" vertical="center"/>
    </xf>
    <xf numFmtId="0" fontId="2" fillId="11" borderId="2" xfId="0" applyFont="1" applyFill="1" applyBorder="1" applyAlignment="1">
      <alignment horizontal="left" vertical="center"/>
    </xf>
  </cellXfs>
  <cellStyles count="4">
    <cellStyle name="20% - Accent1" xfId="2" builtinId="30"/>
    <cellStyle name="Normal" xfId="0" builtinId="0"/>
    <cellStyle name="Normal 2 5" xfId="3"/>
    <cellStyle name="Percent" xfId="1" builtinId="5"/>
  </cellStyles>
  <dxfs count="55">
    <dxf>
      <font>
        <condense val="0"/>
        <extend val="0"/>
        <color rgb="FF9C0006"/>
      </font>
      <fill>
        <patternFill>
          <bgColor rgb="FFFFC7CE"/>
        </patternFill>
      </fill>
    </dxf>
    <dxf>
      <font>
        <strike val="0"/>
        <outline val="0"/>
        <shadow val="0"/>
        <u val="none"/>
        <vertAlign val="baseline"/>
        <sz val="8"/>
        <name val="Calibri"/>
        <scheme val="minor"/>
      </font>
      <alignment horizontal="left" textRotation="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8"/>
        <name val="Calibri"/>
        <scheme val="minor"/>
      </font>
      <alignment horizontal="left" textRotation="0" indent="0" justifyLastLine="0" shrinkToFit="0" readingOrder="0"/>
    </dxf>
    <dxf>
      <border outline="0">
        <bottom style="thin">
          <color indexed="64"/>
        </bottom>
      </border>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8"/>
        <name val="Calibri"/>
        <scheme val="minor"/>
      </font>
      <alignment horizontal="left" textRotation="0" indent="0" justifyLastLine="0" shrinkToFit="0" readingOrder="0"/>
    </dxf>
    <dxf>
      <border outline="0">
        <bottom style="thin">
          <color indexed="64"/>
        </bottom>
      </border>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8"/>
        <name val="Calibri"/>
        <scheme val="minor"/>
      </font>
      <alignment horizontal="left" textRotation="0" indent="0" justifyLastLine="0" shrinkToFit="0" readingOrder="0"/>
    </dxf>
    <dxf>
      <border outline="0">
        <bottom style="thin">
          <color indexed="64"/>
        </bottom>
      </border>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8"/>
        <name val="Calibri"/>
        <scheme val="minor"/>
      </font>
      <alignment horizontal="left" textRotation="0" indent="0" justifyLastLine="0" shrinkToFit="0" readingOrder="0"/>
    </dxf>
    <dxf>
      <border outline="0">
        <bottom style="thin">
          <color indexed="64"/>
        </bottom>
      </border>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vertical="top" textRotation="0" wrapText="1" indent="0" justifyLastLine="0" shrinkToFit="0" readingOrder="0"/>
      <border diagonalUp="0" diagonalDown="0" outline="0">
        <left style="thin">
          <color indexed="64"/>
        </left>
        <right/>
        <top style="thin">
          <color indexed="64"/>
        </top>
        <bottom style="thin">
          <color indexed="64"/>
        </bottom>
      </border>
    </dxf>
    <dxf>
      <border outline="0">
        <top style="thin">
          <color indexed="64"/>
        </top>
      </border>
    </dxf>
    <dxf>
      <border outline="0">
        <right style="thin">
          <color indexed="64"/>
        </right>
        <top style="thin">
          <color indexed="64"/>
        </top>
        <bottom style="thin">
          <color indexed="64"/>
        </bottom>
      </border>
    </dxf>
    <dxf>
      <font>
        <strike val="0"/>
        <outline val="0"/>
        <shadow val="0"/>
        <u val="none"/>
        <vertAlign val="baseline"/>
        <sz val="8"/>
        <name val="Calibri"/>
        <scheme val="minor"/>
      </font>
      <alignment horizontal="left" vertical="top" textRotation="0" wrapText="1" indent="0" justifyLastLine="0" shrinkToFit="0" readingOrder="0"/>
    </dxf>
    <dxf>
      <border outline="0">
        <bottom style="thin">
          <color indexed="64"/>
        </bottom>
      </border>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8"/>
        <name val="Calibri"/>
        <scheme val="minor"/>
      </font>
      <alignment horizontal="left" textRotation="0" indent="0" justifyLastLine="0" shrinkToFit="0" readingOrder="0"/>
    </dxf>
    <dxf>
      <border outline="0">
        <bottom style="thin">
          <color indexed="64"/>
        </bottom>
      </border>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dxf>
    <dxf>
      <font>
        <b/>
        <i val="0"/>
        <strike val="0"/>
        <condense val="0"/>
        <extend val="0"/>
        <outline val="0"/>
        <shadow val="0"/>
        <u val="none"/>
        <vertAlign val="baseline"/>
        <sz val="8"/>
        <color theme="1"/>
        <name val="Calibri"/>
        <scheme val="minor"/>
      </font>
      <alignment horizontal="left" textRotation="0" indent="0" justifyLastLine="0" shrinkToFit="0" readingOrder="0"/>
    </dxf>
    <dxf>
      <font>
        <strike val="0"/>
        <outline val="0"/>
        <shadow val="0"/>
        <u val="none"/>
        <vertAlign val="baseline"/>
        <sz val="8"/>
        <name val="Calibri"/>
        <scheme val="minor"/>
      </font>
      <alignment horizontal="left" textRotation="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8"/>
        <name val="Calibri"/>
        <scheme val="minor"/>
      </font>
      <alignment horizontal="left" textRotation="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8"/>
        <name val="Calibri"/>
        <scheme val="minor"/>
      </font>
      <alignment horizontal="left" textRotation="0" indent="0" justifyLastLine="0" shrinkToFit="0" readingOrder="0"/>
    </dxf>
    <dxf>
      <border outline="0">
        <bottom style="thin">
          <color indexed="64"/>
        </bottom>
      </border>
    </dxf>
    <dxf>
      <font>
        <strike val="0"/>
        <outline val="0"/>
        <shadow val="0"/>
        <u val="none"/>
        <vertAlign val="baseline"/>
        <sz val="8"/>
        <name val="Calibri"/>
        <scheme val="minor"/>
      </font>
      <alignment horizontal="left"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8"/>
        <name val="Calibri"/>
        <scheme val="minor"/>
      </font>
      <numFmt numFmtId="0" formatCode="General"/>
      <alignment horizontal="left" textRotation="0" indent="0" justifyLastLine="0" shrinkToFit="0" readingOrder="0"/>
    </dxf>
    <dxf>
      <border outline="0">
        <left style="thin">
          <color indexed="64"/>
        </left>
        <right style="thin">
          <color indexed="64"/>
        </right>
        <top style="medium">
          <color indexed="64"/>
        </top>
        <bottom style="thin">
          <color indexed="64"/>
        </bottom>
      </border>
    </dxf>
    <dxf>
      <font>
        <strike val="0"/>
        <outline val="0"/>
        <shadow val="0"/>
        <u val="none"/>
        <vertAlign val="baseline"/>
        <sz val="8"/>
        <name val="Calibri"/>
        <scheme val="minor"/>
      </font>
      <alignment horizontal="left" textRotation="0" indent="0" justifyLastLine="0" shrinkToFit="0" readingOrder="0"/>
    </dxf>
    <dxf>
      <border outline="0">
        <bottom style="medium">
          <color indexed="64"/>
        </bottom>
      </border>
    </dxf>
    <dxf>
      <font>
        <b/>
        <i val="0"/>
        <strike val="0"/>
        <condense val="0"/>
        <extend val="0"/>
        <outline val="0"/>
        <shadow val="0"/>
        <u val="none"/>
        <vertAlign val="baseline"/>
        <sz val="8"/>
        <color theme="1"/>
        <name val="Calibri"/>
        <scheme val="minor"/>
      </font>
      <alignment horizontal="left" textRotation="0" indent="0" justifyLastLine="0" shrinkToFit="0" readingOrder="0"/>
      <border diagonalUp="0" diagonalDown="0" outline="0">
        <left style="medium">
          <color indexed="64"/>
        </left>
        <right style="medium">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externalLink" Target="externalLinks/externalLink8.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externalLink" Target="externalLinks/externalLink7.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5</xdr:col>
          <xdr:colOff>206260</xdr:colOff>
          <xdr:row>12</xdr:row>
          <xdr:rowOff>19050</xdr:rowOff>
        </xdr:to>
        <xdr:grpSp>
          <xdr:nvGrpSpPr>
            <xdr:cNvPr id="2" name="Group 52"/>
            <xdr:cNvGrpSpPr>
              <a:grpSpLocks/>
            </xdr:cNvGrpSpPr>
          </xdr:nvGrpSpPr>
          <xdr:grpSpPr bwMode="auto">
            <a:xfrm>
              <a:off x="4621637" y="0"/>
              <a:ext cx="6967669" cy="2507624"/>
              <a:chOff x="574" y="3"/>
              <a:chExt cx="633" cy="222"/>
            </a:xfrm>
          </xdr:grpSpPr>
          <xdr:sp macro="" textlink="">
            <xdr:nvSpPr>
              <xdr:cNvPr id="1025" name="ComboBox7" hidden="1">
                <a:extLst>
                  <a:ext uri="{63B3BB69-23CF-44E3-9099-C40C66FF867C}">
                    <a14:compatExt spid="_x0000_s1025"/>
                  </a:ext>
                </a:extLst>
              </xdr:cNvPr>
              <xdr:cNvSpPr/>
            </xdr:nvSpPr>
            <xdr:spPr bwMode="auto">
              <a:xfrm>
                <a:off x="729" y="3"/>
                <a:ext cx="255" cy="26"/>
              </a:xfrm>
              <a:prstGeom prst="rect">
                <a:avLst/>
              </a:prstGeom>
              <a:noFill/>
              <a:ln>
                <a:noFill/>
              </a:ln>
              <a:extLst>
                <a:ext uri="{91240B29-F687-4F45-9708-019B960494DF}">
                  <a14:hiddenLine w="9525">
                    <a:noFill/>
                    <a:miter lim="800000"/>
                    <a:headEnd/>
                    <a:tailEnd/>
                  </a14:hiddenLine>
                </a:ext>
              </a:extLst>
            </xdr:spPr>
          </xdr:sp>
          <xdr:sp macro="" textlink="">
            <xdr:nvSpPr>
              <xdr:cNvPr id="1026" name="ComboBox8" hidden="1">
                <a:extLst>
                  <a:ext uri="{63B3BB69-23CF-44E3-9099-C40C66FF867C}">
                    <a14:compatExt spid="_x0000_s1026"/>
                  </a:ext>
                </a:extLst>
              </xdr:cNvPr>
              <xdr:cNvSpPr/>
            </xdr:nvSpPr>
            <xdr:spPr bwMode="auto">
              <a:xfrm>
                <a:off x="730" y="35"/>
                <a:ext cx="252" cy="26"/>
              </a:xfrm>
              <a:prstGeom prst="rect">
                <a:avLst/>
              </a:prstGeom>
              <a:noFill/>
              <a:ln>
                <a:noFill/>
              </a:ln>
              <a:extLst>
                <a:ext uri="{91240B29-F687-4F45-9708-019B960494DF}">
                  <a14:hiddenLine w="9525">
                    <a:noFill/>
                    <a:miter lim="800000"/>
                    <a:headEnd/>
                    <a:tailEnd/>
                  </a14:hiddenLine>
                </a:ext>
              </a:extLst>
            </xdr:spPr>
          </xdr:sp>
          <xdr:sp macro="" textlink="">
            <xdr:nvSpPr>
              <xdr:cNvPr id="1027" name="ComboBox3" hidden="1">
                <a:extLst>
                  <a:ext uri="{63B3BB69-23CF-44E3-9099-C40C66FF867C}">
                    <a14:compatExt spid="_x0000_s1027"/>
                  </a:ext>
                </a:extLst>
              </xdr:cNvPr>
              <xdr:cNvSpPr/>
            </xdr:nvSpPr>
            <xdr:spPr bwMode="auto">
              <a:xfrm>
                <a:off x="731" y="65"/>
                <a:ext cx="250" cy="26"/>
              </a:xfrm>
              <a:prstGeom prst="rect">
                <a:avLst/>
              </a:prstGeom>
              <a:noFill/>
              <a:ln>
                <a:noFill/>
              </a:ln>
              <a:extLst>
                <a:ext uri="{91240B29-F687-4F45-9708-019B960494DF}">
                  <a14:hiddenLine w="9525">
                    <a:noFill/>
                    <a:miter lim="800000"/>
                    <a:headEnd/>
                    <a:tailEnd/>
                  </a14:hiddenLine>
                </a:ext>
              </a:extLst>
            </xdr:spPr>
          </xdr:sp>
          <xdr:sp macro="" textlink="">
            <xdr:nvSpPr>
              <xdr:cNvPr id="1028" name="ComboBox4" hidden="1">
                <a:extLst>
                  <a:ext uri="{63B3BB69-23CF-44E3-9099-C40C66FF867C}">
                    <a14:compatExt spid="_x0000_s1028"/>
                  </a:ext>
                </a:extLst>
              </xdr:cNvPr>
              <xdr:cNvSpPr/>
            </xdr:nvSpPr>
            <xdr:spPr bwMode="auto">
              <a:xfrm>
                <a:off x="731" y="94"/>
                <a:ext cx="251" cy="28"/>
              </a:xfrm>
              <a:prstGeom prst="rect">
                <a:avLst/>
              </a:prstGeom>
              <a:noFill/>
              <a:ln>
                <a:noFill/>
              </a:ln>
              <a:extLst>
                <a:ext uri="{91240B29-F687-4F45-9708-019B960494DF}">
                  <a14:hiddenLine w="9525">
                    <a:noFill/>
                    <a:miter lim="800000"/>
                    <a:headEnd/>
                    <a:tailEnd/>
                  </a14:hiddenLine>
                </a:ext>
              </a:extLst>
            </xdr:spPr>
          </xdr:sp>
          <xdr:sp macro="" textlink="">
            <xdr:nvSpPr>
              <xdr:cNvPr id="1029" name="ComboBox5" hidden="1">
                <a:extLst>
                  <a:ext uri="{63B3BB69-23CF-44E3-9099-C40C66FF867C}">
                    <a14:compatExt spid="_x0000_s1029"/>
                  </a:ext>
                </a:extLst>
              </xdr:cNvPr>
              <xdr:cNvSpPr/>
            </xdr:nvSpPr>
            <xdr:spPr bwMode="auto">
              <a:xfrm>
                <a:off x="732" y="128"/>
                <a:ext cx="250" cy="26"/>
              </a:xfrm>
              <a:prstGeom prst="rect">
                <a:avLst/>
              </a:prstGeom>
              <a:noFill/>
              <a:ln>
                <a:noFill/>
              </a:ln>
              <a:extLst>
                <a:ext uri="{91240B29-F687-4F45-9708-019B960494DF}">
                  <a14:hiddenLine w="9525">
                    <a:noFill/>
                    <a:miter lim="800000"/>
                    <a:headEnd/>
                    <a:tailEnd/>
                  </a14:hiddenLine>
                </a:ext>
              </a:extLst>
            </xdr:spPr>
          </xdr:sp>
          <xdr:sp macro="" textlink="">
            <xdr:nvSpPr>
              <xdr:cNvPr id="1030" name="ComboBox6" hidden="1">
                <a:extLst>
                  <a:ext uri="{63B3BB69-23CF-44E3-9099-C40C66FF867C}">
                    <a14:compatExt spid="_x0000_s1030"/>
                  </a:ext>
                </a:extLst>
              </xdr:cNvPr>
              <xdr:cNvSpPr/>
            </xdr:nvSpPr>
            <xdr:spPr bwMode="auto">
              <a:xfrm>
                <a:off x="732" y="159"/>
                <a:ext cx="251" cy="26"/>
              </a:xfrm>
              <a:prstGeom prst="rect">
                <a:avLst/>
              </a:prstGeom>
              <a:noFill/>
              <a:ln>
                <a:noFill/>
              </a:ln>
              <a:extLst>
                <a:ext uri="{91240B29-F687-4F45-9708-019B960494DF}">
                  <a14:hiddenLine w="9525">
                    <a:noFill/>
                    <a:miter lim="800000"/>
                    <a:headEnd/>
                    <a:tailEnd/>
                  </a14:hiddenLine>
                </a:ext>
              </a:extLst>
            </xdr:spPr>
          </xdr:sp>
          <xdr:sp macro="" textlink="">
            <xdr:nvSpPr>
              <xdr:cNvPr id="1031" name="TextBox1" hidden="1">
                <a:extLst>
                  <a:ext uri="{63B3BB69-23CF-44E3-9099-C40C66FF867C}">
                    <a14:compatExt spid="_x0000_s1031"/>
                  </a:ext>
                </a:extLst>
              </xdr:cNvPr>
              <xdr:cNvSpPr/>
            </xdr:nvSpPr>
            <xdr:spPr bwMode="auto">
              <a:xfrm>
                <a:off x="627" y="198"/>
                <a:ext cx="406" cy="24"/>
              </a:xfrm>
              <a:prstGeom prst="rect">
                <a:avLst/>
              </a:prstGeom>
              <a:noFill/>
              <a:ln>
                <a:noFill/>
              </a:ln>
              <a:extLst>
                <a:ext uri="{91240B29-F687-4F45-9708-019B960494DF}">
                  <a14:hiddenLine w="9525">
                    <a:noFill/>
                    <a:miter lim="800000"/>
                    <a:headEnd/>
                    <a:tailEnd/>
                  </a14:hiddenLine>
                </a:ext>
              </a:extLst>
            </xdr:spPr>
          </xdr:sp>
          <xdr:sp macro="" textlink="">
            <xdr:nvSpPr>
              <xdr:cNvPr id="1032" name="TextBox2" hidden="1">
                <a:extLst>
                  <a:ext uri="{63B3BB69-23CF-44E3-9099-C40C66FF867C}">
                    <a14:compatExt spid="_x0000_s1032"/>
                  </a:ext>
                </a:extLst>
              </xdr:cNvPr>
              <xdr:cNvSpPr/>
            </xdr:nvSpPr>
            <xdr:spPr bwMode="auto">
              <a:xfrm>
                <a:off x="574" y="195"/>
                <a:ext cx="51" cy="30"/>
              </a:xfrm>
              <a:prstGeom prst="rect">
                <a:avLst/>
              </a:prstGeom>
              <a:noFill/>
              <a:ln>
                <a:noFill/>
              </a:ln>
              <a:extLst>
                <a:ext uri="{91240B29-F687-4F45-9708-019B960494DF}">
                  <a14:hiddenLine w="9525">
                    <a:noFill/>
                    <a:miter lim="800000"/>
                    <a:headEnd/>
                    <a:tailEnd/>
                  </a14:hiddenLine>
                </a:ext>
              </a:extLst>
            </xdr:spPr>
          </xdr:sp>
          <xdr:sp macro="" textlink="">
            <xdr:nvSpPr>
              <xdr:cNvPr id="1033" name="Label1" hidden="1">
                <a:extLst>
                  <a:ext uri="{63B3BB69-23CF-44E3-9099-C40C66FF867C}">
                    <a14:compatExt spid="_x0000_s1033"/>
                  </a:ext>
                </a:extLst>
              </xdr:cNvPr>
              <xdr:cNvSpPr/>
            </xdr:nvSpPr>
            <xdr:spPr bwMode="auto">
              <a:xfrm>
                <a:off x="584" y="36"/>
                <a:ext cx="132" cy="25"/>
              </a:xfrm>
              <a:prstGeom prst="rect">
                <a:avLst/>
              </a:prstGeom>
              <a:noFill/>
              <a:ln>
                <a:noFill/>
              </a:ln>
              <a:extLst>
                <a:ext uri="{91240B29-F687-4F45-9708-019B960494DF}">
                  <a14:hiddenLine w="9525">
                    <a:noFill/>
                    <a:miter lim="800000"/>
                    <a:headEnd/>
                    <a:tailEnd/>
                  </a14:hiddenLine>
                </a:ext>
              </a:extLst>
            </xdr:spPr>
          </xdr:sp>
          <xdr:sp macro="" textlink="">
            <xdr:nvSpPr>
              <xdr:cNvPr id="1034" name="Label2" hidden="1">
                <a:extLst>
                  <a:ext uri="{63B3BB69-23CF-44E3-9099-C40C66FF867C}">
                    <a14:compatExt spid="_x0000_s1034"/>
                  </a:ext>
                </a:extLst>
              </xdr:cNvPr>
              <xdr:cNvSpPr/>
            </xdr:nvSpPr>
            <xdr:spPr bwMode="auto">
              <a:xfrm>
                <a:off x="584" y="65"/>
                <a:ext cx="132" cy="25"/>
              </a:xfrm>
              <a:prstGeom prst="rect">
                <a:avLst/>
              </a:prstGeom>
              <a:noFill/>
              <a:ln>
                <a:noFill/>
              </a:ln>
              <a:extLst>
                <a:ext uri="{91240B29-F687-4F45-9708-019B960494DF}">
                  <a14:hiddenLine w="9525">
                    <a:noFill/>
                    <a:miter lim="800000"/>
                    <a:headEnd/>
                    <a:tailEnd/>
                  </a14:hiddenLine>
                </a:ext>
              </a:extLst>
            </xdr:spPr>
          </xdr:sp>
          <xdr:sp macro="" textlink="">
            <xdr:nvSpPr>
              <xdr:cNvPr id="1035" name="Label3" hidden="1">
                <a:extLst>
                  <a:ext uri="{63B3BB69-23CF-44E3-9099-C40C66FF867C}">
                    <a14:compatExt spid="_x0000_s1035"/>
                  </a:ext>
                </a:extLst>
              </xdr:cNvPr>
              <xdr:cNvSpPr/>
            </xdr:nvSpPr>
            <xdr:spPr bwMode="auto">
              <a:xfrm>
                <a:off x="584" y="96"/>
                <a:ext cx="132" cy="25"/>
              </a:xfrm>
              <a:prstGeom prst="rect">
                <a:avLst/>
              </a:prstGeom>
              <a:noFill/>
              <a:ln>
                <a:noFill/>
              </a:ln>
              <a:extLst>
                <a:ext uri="{91240B29-F687-4F45-9708-019B960494DF}">
                  <a14:hiddenLine w="9525">
                    <a:noFill/>
                    <a:miter lim="800000"/>
                    <a:headEnd/>
                    <a:tailEnd/>
                  </a14:hiddenLine>
                </a:ext>
              </a:extLst>
            </xdr:spPr>
          </xdr:sp>
          <xdr:sp macro="" textlink="">
            <xdr:nvSpPr>
              <xdr:cNvPr id="1036" name="Label4" hidden="1">
                <a:extLst>
                  <a:ext uri="{63B3BB69-23CF-44E3-9099-C40C66FF867C}">
                    <a14:compatExt spid="_x0000_s1036"/>
                  </a:ext>
                </a:extLst>
              </xdr:cNvPr>
              <xdr:cNvSpPr/>
            </xdr:nvSpPr>
            <xdr:spPr bwMode="auto">
              <a:xfrm>
                <a:off x="582" y="128"/>
                <a:ext cx="132" cy="25"/>
              </a:xfrm>
              <a:prstGeom prst="rect">
                <a:avLst/>
              </a:prstGeom>
              <a:noFill/>
              <a:ln>
                <a:noFill/>
              </a:ln>
              <a:extLst>
                <a:ext uri="{91240B29-F687-4F45-9708-019B960494DF}">
                  <a14:hiddenLine w="9525">
                    <a:noFill/>
                    <a:miter lim="800000"/>
                    <a:headEnd/>
                    <a:tailEnd/>
                  </a14:hiddenLine>
                </a:ext>
              </a:extLst>
            </xdr:spPr>
          </xdr:sp>
          <xdr:sp macro="" textlink="">
            <xdr:nvSpPr>
              <xdr:cNvPr id="1037" name="Label5" hidden="1">
                <a:extLst>
                  <a:ext uri="{63B3BB69-23CF-44E3-9099-C40C66FF867C}">
                    <a14:compatExt spid="_x0000_s1037"/>
                  </a:ext>
                </a:extLst>
              </xdr:cNvPr>
              <xdr:cNvSpPr/>
            </xdr:nvSpPr>
            <xdr:spPr bwMode="auto">
              <a:xfrm>
                <a:off x="582" y="163"/>
                <a:ext cx="132" cy="25"/>
              </a:xfrm>
              <a:prstGeom prst="rect">
                <a:avLst/>
              </a:prstGeom>
              <a:noFill/>
              <a:ln>
                <a:noFill/>
              </a:ln>
              <a:extLst>
                <a:ext uri="{91240B29-F687-4F45-9708-019B960494DF}">
                  <a14:hiddenLine w="9525">
                    <a:noFill/>
                    <a:miter lim="800000"/>
                    <a:headEnd/>
                    <a:tailEnd/>
                  </a14:hiddenLine>
                </a:ext>
              </a:extLst>
            </xdr:spPr>
          </xdr:sp>
          <xdr:sp macro="" textlink="">
            <xdr:nvSpPr>
              <xdr:cNvPr id="1038" name="Label6" hidden="1">
                <a:extLst>
                  <a:ext uri="{63B3BB69-23CF-44E3-9099-C40C66FF867C}">
                    <a14:compatExt spid="_x0000_s1038"/>
                  </a:ext>
                </a:extLst>
              </xdr:cNvPr>
              <xdr:cNvSpPr/>
            </xdr:nvSpPr>
            <xdr:spPr bwMode="auto">
              <a:xfrm>
                <a:off x="584" y="4"/>
                <a:ext cx="132" cy="25"/>
              </a:xfrm>
              <a:prstGeom prst="rect">
                <a:avLst/>
              </a:prstGeom>
              <a:noFill/>
              <a:ln>
                <a:noFill/>
              </a:ln>
              <a:extLst>
                <a:ext uri="{91240B29-F687-4F45-9708-019B960494DF}">
                  <a14:hiddenLine w="9525">
                    <a:noFill/>
                    <a:miter lim="800000"/>
                    <a:headEnd/>
                    <a:tailEnd/>
                  </a14:hiddenLine>
                </a:ext>
              </a:extLst>
            </xdr:spPr>
          </xdr:sp>
          <xdr:sp macro="" textlink="">
            <xdr:nvSpPr>
              <xdr:cNvPr id="1039" name="CommandButton1" hidden="1">
                <a:extLst>
                  <a:ext uri="{63B3BB69-23CF-44E3-9099-C40C66FF867C}">
                    <a14:compatExt spid="_x0000_s1039"/>
                  </a:ext>
                </a:extLst>
              </xdr:cNvPr>
              <xdr:cNvSpPr/>
            </xdr:nvSpPr>
            <xdr:spPr bwMode="auto">
              <a:xfrm>
                <a:off x="1038" y="194"/>
                <a:ext cx="169" cy="31"/>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Input%20Documents%20for%20M3%20Style%20Creation\VS%20Pink\VSD\Input%20Document%20-%20K4225N0%20updated%202010.08.27%20doc%20476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Y:\Documents%20and%20Settings\dharshanc\Local%20Settings\Temporary%20Internet%20Files\Content.Outlook\IQ7BS652\P4225FA0%20262K.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Y:\Documents%20and%20Settings\dharshanc\Local%20Settings\Temporary%20Internet%20Files\Content.Outlook\IQ7BS652\Input%20Document%20New%20Format%20with%20conditions%20-%209486%20%20Holiday%20Test%20-%20NEW.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Y:\MOVEX%20COMMEN\Input%20Documents%20for%20M3%20Style%20Creation\VS%20Pink\VSS\Input%20Document%20-%20P4225A1%2023-Aug-2010%20doc%204426.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Eranda/Order%20Inquiry%20Details/June%20-%202016/EC%20-%20Bulk%20Inquiry%20-%20%20CK%20ID%20COTTON/CE1760F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upekshae\AppData\Roaming\Microsoft\Excel\New%20Input%20Document%20Version%205%20(version%202).xlsb"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ATA/Desktop/New%20Input%20Document%20Version%205.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DATA/Desktop/CK/Formats/New%20Input%20Document%20Version%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sheetName val="BOM"/>
      <sheetName val="Operations to track"/>
      <sheetName val="Customer Order"/>
      <sheetName val="Data Tables"/>
      <sheetName val="Operations"/>
      <sheetName val="Input Document - K4225N0 update"/>
    </sheetNames>
    <sheetDataSet>
      <sheetData sheetId="0"/>
      <sheetData sheetId="1"/>
      <sheetData sheetId="2"/>
      <sheetData sheetId="3"/>
      <sheetData sheetId="4">
        <row r="2">
          <cell r="Z2" t="str">
            <v xml:space="preserve">D03 - DBA/DIM/Men's </v>
          </cell>
          <cell r="AB2" t="str">
            <v>BRA01196 - DBA SAS</v>
          </cell>
          <cell r="AD2" t="str">
            <v>2PK - 2 Pcs per pack</v>
          </cell>
          <cell r="AF2" t="str">
            <v xml:space="preserve">F1HCT - FAB WVN 100% CT                         </v>
          </cell>
        </row>
        <row r="3">
          <cell r="A3" t="str">
            <v>Lasitha Kulatileke - BAW2042</v>
          </cell>
          <cell r="E3" t="str">
            <v>Samitha Dissanayake - BAW2393</v>
          </cell>
          <cell r="I3" t="str">
            <v>BOX - Box - 5000 Pcs</v>
          </cell>
          <cell r="K3" t="str">
            <v>Brandix Active Wear - India</v>
          </cell>
          <cell r="N3">
            <v>0</v>
          </cell>
          <cell r="Z3" t="str">
            <v xml:space="preserve">D04 - DBA/Lovable/Fila/Men's </v>
          </cell>
          <cell r="AB3" t="str">
            <v>BRA01195 - DBA (BRANDED APPARAL ITALIA S.R.L)</v>
          </cell>
          <cell r="AD3" t="str">
            <v>30P - 30 pcs per 1 poly bag</v>
          </cell>
          <cell r="AF3" t="str">
            <v xml:space="preserve">F1PC1 - FAB WVN 65% POLYSTER 35% CT             </v>
          </cell>
        </row>
        <row r="4">
          <cell r="A4" t="str">
            <v>Kalpani Peiris - BAW2047</v>
          </cell>
          <cell r="E4" t="str">
            <v>Sisira Kaluarachchi - BAW2203</v>
          </cell>
          <cell r="I4" t="str">
            <v>BTL - Bottle</v>
          </cell>
          <cell r="K4" t="str">
            <v>Brandix Active Wear - Koggala</v>
          </cell>
          <cell r="N4" t="str">
            <v>09-090</v>
          </cell>
          <cell r="P4" t="str">
            <v>AIR</v>
          </cell>
          <cell r="Z4" t="str">
            <v>H01 - H &amp; M /Children’s - 6530</v>
          </cell>
          <cell r="AB4" t="str">
            <v>HMH00933 - H &amp; M HENNES &amp; MAURITZ</v>
          </cell>
          <cell r="AD4" t="str">
            <v>3HB - 3 Pcs Hanger Bag</v>
          </cell>
          <cell r="AF4" t="str">
            <v xml:space="preserve">F2CE1 - FAB WFT KNT 96%CT 4% ELS                </v>
          </cell>
        </row>
        <row r="5">
          <cell r="A5" t="str">
            <v>Rismy Mohamed  - BAW2135</v>
          </cell>
          <cell r="E5" t="str">
            <v>Anuradha Jayasinghe - BAW2206</v>
          </cell>
          <cell r="I5" t="str">
            <v>BX1 - Box - 10000 Pieces</v>
          </cell>
          <cell r="N5" t="str">
            <v>10-100</v>
          </cell>
          <cell r="P5" t="str">
            <v>ASE</v>
          </cell>
          <cell r="Z5" t="str">
            <v>H02 - H &amp; M /Girls  – 2932</v>
          </cell>
          <cell r="AB5" t="str">
            <v>HAN00940 - HBI (HANES BRANDS)</v>
          </cell>
          <cell r="AD5" t="str">
            <v>3PF - 3 Pcs per pack-Flat Pack</v>
          </cell>
          <cell r="AF5" t="str">
            <v xml:space="preserve">F2CL1 - FABIRC WFT KNT 93/7% COTTTON/LYC        </v>
          </cell>
        </row>
        <row r="6">
          <cell r="A6" t="str">
            <v>Thusitha Ranasinghe - BAW2136</v>
          </cell>
          <cell r="E6" t="str">
            <v>Malika Sellahewa - BAW2209</v>
          </cell>
          <cell r="I6" t="str">
            <v>CNS - Cones</v>
          </cell>
          <cell r="N6" t="str">
            <v>2 Pcs per pack</v>
          </cell>
          <cell r="P6" t="str">
            <v>CON</v>
          </cell>
          <cell r="Z6" t="str">
            <v xml:space="preserve">H03 - H &amp; M /Ladies  – 3708 </v>
          </cell>
          <cell r="AB6" t="str">
            <v>MAR00137 - Marks &amp; Spencer</v>
          </cell>
          <cell r="AD6" t="str">
            <v>3PH - 3 Pcs per pack-Hanger Pack</v>
          </cell>
          <cell r="AF6" t="str">
            <v xml:space="preserve">F2CL2 - FABIRC WFT KNT 94/6% CT/LYC             </v>
          </cell>
        </row>
        <row r="7">
          <cell r="A7" t="str">
            <v>Yoshan Wickramasinghe - BAW2138</v>
          </cell>
          <cell r="E7" t="str">
            <v>Asanka Thomas - BAW2210</v>
          </cell>
          <cell r="I7" t="str">
            <v>CTN - Carton</v>
          </cell>
          <cell r="N7" t="str">
            <v>30 pcs per 1 poly bag</v>
          </cell>
          <cell r="P7" t="str">
            <v>CRR</v>
          </cell>
          <cell r="Z7" t="str">
            <v>H04 - H &amp; M /Mens  – 7988</v>
          </cell>
          <cell r="AB7" t="str">
            <v>MAS00468 - Mast Ind</v>
          </cell>
          <cell r="AD7" t="str">
            <v>3PK - 3 Pcs per pack</v>
          </cell>
          <cell r="AF7" t="str">
            <v xml:space="preserve">F2CL3 - FABIRC WFT KNT 95/5% CT/LYC             </v>
          </cell>
        </row>
        <row r="8">
          <cell r="A8" t="str">
            <v>Dharshan Cooray - BAW2165</v>
          </cell>
          <cell r="E8" t="str">
            <v>Mahesha Walpola - BAW2244</v>
          </cell>
          <cell r="I8" t="str">
            <v>DST - Dozen Sets</v>
          </cell>
          <cell r="N8" t="str">
            <v>T3FP1</v>
          </cell>
          <cell r="P8" t="str">
            <v>FLA</v>
          </cell>
          <cell r="Z8" t="str">
            <v>H05 - H &amp; M/LOGG ladies – 1670</v>
          </cell>
          <cell r="AD8" t="str">
            <v>4PK - 4 Pcs per pack</v>
          </cell>
          <cell r="AF8" t="str">
            <v xml:space="preserve">F2CO1 - FAB WFT KNT 43/52/5%CT/OR CT/SP         </v>
          </cell>
        </row>
        <row r="9">
          <cell r="A9" t="str">
            <v>Oshadee Dayaratne - BAW2243</v>
          </cell>
          <cell r="E9" t="str">
            <v>Nalir Mohomed - BAW2280</v>
          </cell>
          <cell r="I9" t="str">
            <v>DZN - Dozen</v>
          </cell>
          <cell r="N9" t="str">
            <v>T3FP2</v>
          </cell>
          <cell r="P9" t="str">
            <v>ROA</v>
          </cell>
          <cell r="Z9" t="str">
            <v xml:space="preserve">H06 - Hanes/Ladies </v>
          </cell>
          <cell r="AD9" t="str">
            <v>4PP - 4 pcs per 1 poly bag</v>
          </cell>
          <cell r="AF9" t="str">
            <v xml:space="preserve">F2CO2 - FAB WFT KNT 43/57% CT/OR CT             </v>
          </cell>
        </row>
        <row r="10">
          <cell r="A10" t="str">
            <v>Imali De Silva - BAW2273</v>
          </cell>
          <cell r="E10" t="str">
            <v>Sampath Paranagama - BAW2304</v>
          </cell>
          <cell r="I10" t="str">
            <v>GRS - Gross</v>
          </cell>
          <cell r="N10" t="str">
            <v>T3FP3</v>
          </cell>
          <cell r="P10" t="str">
            <v>ROB</v>
          </cell>
          <cell r="Z10" t="str">
            <v xml:space="preserve">H07 - Hanes/Men's </v>
          </cell>
          <cell r="AD10" t="str">
            <v>BLP - Bulk Packing</v>
          </cell>
          <cell r="AF10" t="str">
            <v xml:space="preserve">F2CP1 - FABIRC WFT KNT 75/25% COT/POLY          </v>
          </cell>
        </row>
        <row r="11">
          <cell r="A11" t="str">
            <v>Kaushala Nissanka - BAW2299</v>
          </cell>
          <cell r="E11" t="str">
            <v>Ranusha Fernando - BAW2322</v>
          </cell>
          <cell r="I11" t="str">
            <v>KG - Kilogram</v>
          </cell>
          <cell r="N11" t="str">
            <v>3 Pcs per pack</v>
          </cell>
          <cell r="P11" t="str">
            <v>SAR</v>
          </cell>
          <cell r="Z11" t="str">
            <v>M01 - M&amp;S/boys wear</v>
          </cell>
          <cell r="AD11" t="str">
            <v>FLP - Flat Packing</v>
          </cell>
          <cell r="AF11" t="str">
            <v xml:space="preserve">F2CS1 - FABIRC WFT KNT 75/25% COT/SP            </v>
          </cell>
        </row>
        <row r="12">
          <cell r="A12" t="str">
            <v>Apsara Sethuhewa - BAW2326</v>
          </cell>
          <cell r="E12" t="str">
            <v>Tharanga Delpachitra - BAW2325</v>
          </cell>
          <cell r="I12" t="str">
            <v>KGS - KGS</v>
          </cell>
          <cell r="N12" t="str">
            <v>4PK</v>
          </cell>
          <cell r="P12" t="str">
            <v>SEA</v>
          </cell>
          <cell r="Z12" t="str">
            <v>M02 - M&amp;S/girls wear</v>
          </cell>
          <cell r="AD12" t="str">
            <v>HNG - Hanger Pack</v>
          </cell>
          <cell r="AF12" t="str">
            <v xml:space="preserve">F2CS2 - FAB WFT KNT 93/7% COTTTON/SP            </v>
          </cell>
        </row>
        <row r="13">
          <cell r="A13" t="str">
            <v>Mahesh Abeysinghe - BAW2328</v>
          </cell>
          <cell r="E13" t="str">
            <v>Ruwan Jayawardana - BAW2335</v>
          </cell>
          <cell r="I13" t="str">
            <v>LBS - Pound</v>
          </cell>
          <cell r="N13" t="str">
            <v>63-004</v>
          </cell>
          <cell r="Z13" t="str">
            <v>M03 - M&amp;S/men’s wear</v>
          </cell>
          <cell r="AD13" t="str">
            <v>MXP - Mixed Packing</v>
          </cell>
          <cell r="AF13" t="str">
            <v xml:space="preserve">F2CS3 - FABIRC WFT KNT 94/6% CT/SP              </v>
          </cell>
        </row>
        <row r="14">
          <cell r="A14" t="str">
            <v>Viraj Fernando - BAW2329</v>
          </cell>
          <cell r="E14" t="str">
            <v>Sameera Kariyawasam - BAW2384</v>
          </cell>
          <cell r="I14" t="str">
            <v>LTR - Litre</v>
          </cell>
          <cell r="N14" t="str">
            <v>85-008</v>
          </cell>
          <cell r="Z14" t="str">
            <v>M04 - M&amp;S/T14 - Men's /Authentic</v>
          </cell>
          <cell r="AD14" t="str">
            <v>PLG - Polybag Packing</v>
          </cell>
          <cell r="AF14" t="str">
            <v xml:space="preserve">F2CS4 - FABIRC WFT KNT 95/5% CT/SP              </v>
          </cell>
        </row>
        <row r="15">
          <cell r="A15" t="str">
            <v>Lalith Bandara - BAW2333</v>
          </cell>
          <cell r="E15" t="str">
            <v>Dulari Wewegedara - BAW2390</v>
          </cell>
          <cell r="I15" t="str">
            <v>MTR - Meter</v>
          </cell>
          <cell r="N15" t="str">
            <v>Bulk Packing</v>
          </cell>
          <cell r="Z15" t="str">
            <v>M05 - M&amp;S/T14 - Men's /Outstanding Value</v>
          </cell>
          <cell r="AD15" t="str">
            <v>PRP - Pre-pack</v>
          </cell>
          <cell r="AF15" t="str">
            <v xml:space="preserve">F2CS5 - FABRIC WFT KNT 95/5% ORGANIC CT/SP      </v>
          </cell>
        </row>
        <row r="16">
          <cell r="A16" t="str">
            <v>Piumali Pathirana - BAW2346</v>
          </cell>
          <cell r="E16" t="str">
            <v>Rajitha Ranathunga - BAW2448</v>
          </cell>
          <cell r="I16" t="str">
            <v>NOS - Numbers</v>
          </cell>
          <cell r="N16" t="str">
            <v>Flat Packing</v>
          </cell>
          <cell r="Z16" t="str">
            <v>M06 - M&amp;S/T17 (Mens)/Blue Harbour</v>
          </cell>
          <cell r="AD16" t="str">
            <v>RTO - Ration Packing</v>
          </cell>
          <cell r="AF16" t="str">
            <v xml:space="preserve">F2CS6 - FAB WFT KNT 88/12% COTTTON/SP           </v>
          </cell>
        </row>
        <row r="17">
          <cell r="A17" t="str">
            <v>Pradeepa Fernando - BAW2359</v>
          </cell>
          <cell r="E17" t="str">
            <v>Nilanka Imbuldeniya - BAW2467</v>
          </cell>
          <cell r="I17" t="str">
            <v>PC1 - 100 Pieces</v>
          </cell>
          <cell r="N17" t="str">
            <v>Hanger Pack</v>
          </cell>
          <cell r="Z17" t="str">
            <v>M07 - M&amp;S/T17 (Mens)/North Coast</v>
          </cell>
          <cell r="AD17" t="str">
            <v>SET - Set Item</v>
          </cell>
          <cell r="AF17" t="str">
            <v xml:space="preserve">F2CS7 - FAB WFT KNT 91/9% COTTTON/LYCRA         </v>
          </cell>
        </row>
        <row r="18">
          <cell r="A18" t="str">
            <v>Dinu De Silva - BAW2361</v>
          </cell>
          <cell r="E18" t="str">
            <v>Anushaka Rodrigo - BAW716</v>
          </cell>
          <cell r="I18" t="str">
            <v>PC3 - 1000 Pieces</v>
          </cell>
          <cell r="N18" t="str">
            <v>Mixed Packing</v>
          </cell>
          <cell r="Z18" t="str">
            <v>M08 - M&amp;S/T54 (Ladies)/Indigo</v>
          </cell>
          <cell r="AD18" t="str">
            <v>SIN - Single pc  packing method</v>
          </cell>
          <cell r="AF18" t="str">
            <v xml:space="preserve">F2HCT - FABIRC WFT KNT 100% CT                  </v>
          </cell>
        </row>
        <row r="19">
          <cell r="A19" t="str">
            <v>Oshani Hettiarachchi - BAW2369</v>
          </cell>
          <cell r="E19" t="str">
            <v>Sithmini Chandramali - BAWINT0009</v>
          </cell>
          <cell r="I19" t="str">
            <v>PCS - Pieces</v>
          </cell>
          <cell r="N19" t="str">
            <v>Polybag Packing</v>
          </cell>
          <cell r="Z19" t="str">
            <v>M09 - M&amp;S/T54 (Ladies)/Porfolio</v>
          </cell>
          <cell r="AD19" t="str">
            <v>SLD - Solid Color Solid Size</v>
          </cell>
          <cell r="AF19" t="str">
            <v xml:space="preserve">F2HOC - FABIRC WFT KNT 100% OR CT               </v>
          </cell>
        </row>
        <row r="20">
          <cell r="A20" t="str">
            <v>Madhavi Weerakoon - BAW2380</v>
          </cell>
          <cell r="E20" t="str">
            <v>Chamara Nawarathna - BAWINT0033</v>
          </cell>
          <cell r="I20" t="str">
            <v>PKT - Packet</v>
          </cell>
          <cell r="N20" t="str">
            <v>Pre-pack</v>
          </cell>
          <cell r="Z20" t="str">
            <v>M10 - M&amp;S/T58 (Classic Ladies)/Porfolio</v>
          </cell>
          <cell r="AD20" t="str">
            <v>STD - STANDARD</v>
          </cell>
          <cell r="AF20" t="str">
            <v xml:space="preserve">F2ME1 - FAB WFT KNT 93% MIC MDL 7%ELS           </v>
          </cell>
        </row>
        <row r="21">
          <cell r="A21" t="str">
            <v>Deshan Senadheera - BAW2385</v>
          </cell>
          <cell r="E21" t="str">
            <v>Shashini Stembo - BAWINT0035</v>
          </cell>
          <cell r="I21" t="str">
            <v>ROL - Roll</v>
          </cell>
          <cell r="N21" t="str">
            <v>Ration Packing</v>
          </cell>
          <cell r="Z21" t="str">
            <v>M11 - M&amp;S/T87 (Older Boys)</v>
          </cell>
          <cell r="AD21" t="str">
            <v>WF2 - Waterfall 2 pcs Per Pack</v>
          </cell>
          <cell r="AF21" t="str">
            <v xml:space="preserve">F2MS1 - FAB WFT KNT 90.5% CT 2%METLIC YRN7%SP   </v>
          </cell>
        </row>
        <row r="22">
          <cell r="A22" t="str">
            <v>Nadisha Bandara - BAW2391</v>
          </cell>
          <cell r="E22" t="str">
            <v>Oshada Katuwawalage - BAWINT0036</v>
          </cell>
          <cell r="I22" t="str">
            <v>SET - Set</v>
          </cell>
          <cell r="N22" t="str">
            <v>Set Item</v>
          </cell>
          <cell r="Z22" t="str">
            <v>M12 - M&amp;S/T88 (Toddler Boys)</v>
          </cell>
          <cell r="AD22" t="str">
            <v>WF3 - Waterfall 3 pcs Per Pack</v>
          </cell>
          <cell r="AF22" t="str">
            <v xml:space="preserve">F2MS2 - FAB WFT KNT 91%CT 2%METLIC YRN7%SP      </v>
          </cell>
        </row>
        <row r="23">
          <cell r="A23" t="str">
            <v>Lekha Rajapakse - BAW2394</v>
          </cell>
          <cell r="E23" t="str">
            <v>Thilini Lokuliyana - BAWINT0037</v>
          </cell>
          <cell r="I23" t="str">
            <v>SHT - Sheet</v>
          </cell>
          <cell r="N23" t="str">
            <v>Solid Color Solid Size</v>
          </cell>
          <cell r="Z23" t="str">
            <v>M13 - M&amp;S/women’s wear</v>
          </cell>
          <cell r="AD23" t="str">
            <v>WF5 - Waterfall 5 pcs Per Pack</v>
          </cell>
          <cell r="AF23" t="str">
            <v xml:space="preserve">F3HNY - FAB WRP KNT 100% NYL                    </v>
          </cell>
        </row>
        <row r="24">
          <cell r="A24" t="str">
            <v>Lahiru Manamperi - BAW2424</v>
          </cell>
          <cell r="I24" t="str">
            <v>SLT - Select</v>
          </cell>
          <cell r="N24" t="str">
            <v>Single pc  packing method</v>
          </cell>
          <cell r="Z24" t="str">
            <v>L04 - LA SENZA/Cotton</v>
          </cell>
          <cell r="AD24" t="str">
            <v>WFP - Water fall pack</v>
          </cell>
          <cell r="AF24" t="str">
            <v xml:space="preserve">F3HNZ - FAB WRP KNT 90%/10% NYL/SPN             </v>
          </cell>
        </row>
        <row r="25">
          <cell r="A25" t="str">
            <v>Ruwantha Bandara - BAW2425</v>
          </cell>
          <cell r="I25" t="str">
            <v>TON - Ton</v>
          </cell>
          <cell r="N25" t="str">
            <v>T4CP1-Assorted clr / ratio</v>
          </cell>
          <cell r="Z25" t="str">
            <v>L05 - LBI/Cacique/Cotton Logo</v>
          </cell>
          <cell r="AF25" t="str">
            <v xml:space="preserve">F3NS1 - FAB WRP KNT 94/6% NYL/SP                </v>
          </cell>
        </row>
        <row r="26">
          <cell r="A26" t="str">
            <v>Shamindra Welikala - BAW2453</v>
          </cell>
          <cell r="I26" t="str">
            <v>YRD - Yard</v>
          </cell>
          <cell r="N26" t="str">
            <v>Water fall pack</v>
          </cell>
          <cell r="Z26" t="str">
            <v>V03 - VSD/PINK</v>
          </cell>
          <cell r="AF26" t="str">
            <v xml:space="preserve">F3NS2 - FAB WRP KNT 87/13% NYL/SP               </v>
          </cell>
        </row>
        <row r="27">
          <cell r="A27" t="str">
            <v>Sakbo Kohona - BAW2454</v>
          </cell>
          <cell r="Z27" t="str">
            <v>V04 - VSD/VSI/Non Signature Cotton</v>
          </cell>
          <cell r="AF27" t="str">
            <v xml:space="preserve">F3NS3 - FAB WRP KNT 86/14% NYL/SP               </v>
          </cell>
        </row>
        <row r="28">
          <cell r="A28" t="str">
            <v>Nelka Dulashinie - BAW2466</v>
          </cell>
          <cell r="Z28" t="str">
            <v>V05 - VSD/VSI/Signature Cotton</v>
          </cell>
          <cell r="AF28" t="str">
            <v xml:space="preserve">F3NS4 - FAB WRP KNT 85/15% NYL/SP               </v>
          </cell>
        </row>
        <row r="29">
          <cell r="A29" t="str">
            <v>Nouzad Nazeemdeen - BAW2207</v>
          </cell>
          <cell r="Z29" t="str">
            <v>V06 - VSD/VSI/SophisticatedGlamou</v>
          </cell>
          <cell r="AF29" t="str">
            <v xml:space="preserve">F3NS5 - FAB WRP KNT 86/14% POLY/SP              </v>
          </cell>
        </row>
        <row r="30">
          <cell r="A30" t="str">
            <v>Nipun Wanigasekara - BAWINT0034</v>
          </cell>
          <cell r="Z30" t="str">
            <v>V07 - VSD/VSI/Young Glamour</v>
          </cell>
          <cell r="AF30" t="str">
            <v xml:space="preserve">F3NS6 - FAB WRP KNT 92/8% POLY/SP               </v>
          </cell>
        </row>
        <row r="31">
          <cell r="A31" t="str">
            <v>Lolitha Wijesooriya - BAWINT0038</v>
          </cell>
          <cell r="Z31" t="str">
            <v>V08 - VSD/Womens</v>
          </cell>
          <cell r="AF31" t="str">
            <v xml:space="preserve">F3NS7 - FAB WRP KNT 92/8% NYL/SP                </v>
          </cell>
        </row>
        <row r="32">
          <cell r="A32" t="str">
            <v>Dulip Amarasinghe - BAWINT0039</v>
          </cell>
          <cell r="Z32" t="str">
            <v>V09 - VSD/Womens/1x1 Rib</v>
          </cell>
          <cell r="AF32" t="str">
            <v xml:space="preserve">F3NS8 - FAB WRP KNT 72/28% POLY/SP              </v>
          </cell>
        </row>
        <row r="33">
          <cell r="A33" t="str">
            <v>Roshan Kulatunga - BAW2470</v>
          </cell>
          <cell r="Z33" t="str">
            <v>V10 - VSD/Womens/2x2 Rib</v>
          </cell>
          <cell r="AF33" t="str">
            <v xml:space="preserve">F3NS9 - FAB WRP KNT 79/21% NYL/SP               </v>
          </cell>
        </row>
        <row r="34">
          <cell r="A34" t="str">
            <v>Rossana Ruberu - BAW2443</v>
          </cell>
          <cell r="Z34" t="str">
            <v>V11 - VSS/BBV</v>
          </cell>
          <cell r="AF34" t="str">
            <v xml:space="preserve">F3NT1 - FAB WRP KNT 82/18% NYL/SP               </v>
          </cell>
        </row>
        <row r="35">
          <cell r="Z35" t="str">
            <v>V12 - VSS/Dressy</v>
          </cell>
          <cell r="AF35" t="str">
            <v xml:space="preserve">F3NT2 - FAB WRP KNT 100% POLY                   </v>
          </cell>
        </row>
        <row r="36">
          <cell r="Z36" t="str">
            <v>V13 - VSS/PINK</v>
          </cell>
          <cell r="AF36" t="str">
            <v xml:space="preserve">F4CL1 - FAB FLAT KNIT 93/7% COTTTON/LYC         </v>
          </cell>
        </row>
        <row r="37">
          <cell r="Z37" t="str">
            <v>V14 - VSS/Pink/Womens</v>
          </cell>
          <cell r="AF37" t="str">
            <v xml:space="preserve">F4CL2 - FAB FLAT KNIT 94/6% CT/LYC              </v>
          </cell>
        </row>
        <row r="38">
          <cell r="Z38" t="str">
            <v>V15 - VSS/Pink/Womens/Wovens &amp; Sports</v>
          </cell>
          <cell r="AF38" t="str">
            <v xml:space="preserve">F4CL3 - FAB FLAT KNIT 95/5% CT/LYC              </v>
          </cell>
        </row>
        <row r="39">
          <cell r="Z39" t="str">
            <v>V16 - VSS/VSI/Non Signature Cotton</v>
          </cell>
          <cell r="AF39" t="str">
            <v xml:space="preserve">F4CS2 - FAB FLAT KNIT 93/7% COTTTON/SP          </v>
          </cell>
        </row>
        <row r="40">
          <cell r="Z40" t="str">
            <v>V17 - VSS/VSI/Signature Cotton</v>
          </cell>
          <cell r="AF40" t="str">
            <v xml:space="preserve">F4CS3 - FAB FLAT KNIT 94/6% CT/SP               </v>
          </cell>
        </row>
        <row r="41">
          <cell r="Z41" t="str">
            <v>V18 - VSS/VSI/SophisticatedGlamou</v>
          </cell>
          <cell r="AF41" t="str">
            <v xml:space="preserve">F4CS4 - FAB FLAT KNIT 95/5% CT/SP               </v>
          </cell>
        </row>
        <row r="42">
          <cell r="Z42" t="str">
            <v>V19 - VSS/VSI/Young Glamour</v>
          </cell>
          <cell r="AF42" t="str">
            <v xml:space="preserve">F4CS5 - FAB FLAT KNIT 95/5% ORGANIC CT/SP       </v>
          </cell>
        </row>
        <row r="43">
          <cell r="AF43" t="str">
            <v xml:space="preserve">F4HCT - FAB FLAT KNIT 100% CT                   </v>
          </cell>
        </row>
      </sheetData>
      <sheetData sheetId="5">
        <row r="2">
          <cell r="I2" t="str">
            <v>401 - Koggala</v>
          </cell>
        </row>
        <row r="3">
          <cell r="I3" t="str">
            <v>402 - Devon</v>
          </cell>
        </row>
        <row r="4">
          <cell r="I4" t="str">
            <v>403 - Polgahawela</v>
          </cell>
        </row>
        <row r="5">
          <cell r="I5" t="str">
            <v>404 - Nivithigala</v>
          </cell>
        </row>
        <row r="6">
          <cell r="I6" t="str">
            <v>406 - Koggala External Sub Contract</v>
          </cell>
        </row>
        <row r="7">
          <cell r="I7" t="str">
            <v>407 - India</v>
          </cell>
        </row>
        <row r="8">
          <cell r="I8" t="str">
            <v>408 - India External Sub Contract</v>
          </cell>
        </row>
        <row r="9">
          <cell r="I9" t="str">
            <v>409 - Rambukkana</v>
          </cell>
        </row>
        <row r="10">
          <cell r="I10" t="str">
            <v>410 - Nivithigala External Sub Contract</v>
          </cell>
        </row>
      </sheetData>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sheetName val="BOM"/>
      <sheetName val="Operations to track"/>
      <sheetName val="Customer Order"/>
      <sheetName val="Data Tables"/>
      <sheetName val="Supplier"/>
      <sheetName val="Hierarchy"/>
      <sheetName val="Operations"/>
    </sheetNames>
    <sheetDataSet>
      <sheetData sheetId="0"/>
      <sheetData sheetId="1"/>
      <sheetData sheetId="2"/>
      <sheetData sheetId="3"/>
      <sheetData sheetId="4">
        <row r="3">
          <cell r="E3" t="str">
            <v>BOX - Box - 5000 Pcs</v>
          </cell>
        </row>
        <row r="4">
          <cell r="E4" t="str">
            <v>BTL - Bottle</v>
          </cell>
        </row>
        <row r="5">
          <cell r="E5" t="str">
            <v>BX1 - Box - 10000 Pieces</v>
          </cell>
        </row>
        <row r="6">
          <cell r="E6" t="str">
            <v>CNS - Cones</v>
          </cell>
        </row>
        <row r="7">
          <cell r="E7" t="str">
            <v>CTN - Carton</v>
          </cell>
        </row>
        <row r="8">
          <cell r="E8" t="str">
            <v>DST - Dozen Sets</v>
          </cell>
        </row>
        <row r="9">
          <cell r="E9" t="str">
            <v>DZN - Dozen</v>
          </cell>
        </row>
        <row r="10">
          <cell r="E10" t="str">
            <v>GRS - Gross</v>
          </cell>
        </row>
        <row r="11">
          <cell r="E11" t="str">
            <v>KG - Kilogram</v>
          </cell>
        </row>
        <row r="12">
          <cell r="E12" t="str">
            <v>KGS - KGS</v>
          </cell>
        </row>
        <row r="13">
          <cell r="E13" t="str">
            <v>LBS - Pound</v>
          </cell>
        </row>
        <row r="14">
          <cell r="E14" t="str">
            <v>LTR - Litre</v>
          </cell>
        </row>
        <row r="15">
          <cell r="E15" t="str">
            <v>MTR - Meter</v>
          </cell>
        </row>
        <row r="16">
          <cell r="E16" t="str">
            <v>NOS - Numbers</v>
          </cell>
        </row>
        <row r="17">
          <cell r="E17" t="str">
            <v>PC1 - 100 Pieces</v>
          </cell>
        </row>
        <row r="18">
          <cell r="E18" t="str">
            <v>PC3 - 1000 Pieces</v>
          </cell>
        </row>
        <row r="19">
          <cell r="E19" t="str">
            <v>PCS - Pieces</v>
          </cell>
        </row>
        <row r="20">
          <cell r="E20" t="str">
            <v>PKT - Packet</v>
          </cell>
        </row>
        <row r="21">
          <cell r="E21" t="str">
            <v>ROL - Roll</v>
          </cell>
        </row>
        <row r="22">
          <cell r="E22" t="str">
            <v>SET - Set</v>
          </cell>
        </row>
        <row r="23">
          <cell r="E23" t="str">
            <v>SHT - Sheet</v>
          </cell>
        </row>
        <row r="24">
          <cell r="E24" t="str">
            <v>SLT - Select</v>
          </cell>
        </row>
        <row r="25">
          <cell r="E25" t="str">
            <v>TON - Ton</v>
          </cell>
        </row>
        <row r="26">
          <cell r="E26" t="str">
            <v>YRD - Yard</v>
          </cell>
        </row>
      </sheetData>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sheetName val="BOM"/>
      <sheetName val="Operations to track"/>
      <sheetName val="Customer Order"/>
      <sheetName val="Data Tables"/>
      <sheetName val="Operations"/>
    </sheetNames>
    <sheetDataSet>
      <sheetData sheetId="0"/>
      <sheetData sheetId="1"/>
      <sheetData sheetId="2"/>
      <sheetData sheetId="3"/>
      <sheetData sheetId="4">
        <row r="3">
          <cell r="E3" t="str">
            <v>Samitha Dissanayake - BAW2393</v>
          </cell>
        </row>
        <row r="4">
          <cell r="E4" t="str">
            <v>Sisira Kaluarachchi - BAW2203</v>
          </cell>
        </row>
        <row r="5">
          <cell r="E5" t="str">
            <v>Anuradha Jayasinghe - BAW2206</v>
          </cell>
        </row>
        <row r="6">
          <cell r="E6" t="str">
            <v>Malika Sellahewa - BAW2209</v>
          </cell>
        </row>
        <row r="7">
          <cell r="E7" t="str">
            <v>Asanka Thomas - BAW2210</v>
          </cell>
        </row>
        <row r="8">
          <cell r="E8" t="str">
            <v>Mahesha Walpola - BAW2244</v>
          </cell>
        </row>
        <row r="9">
          <cell r="E9" t="str">
            <v>Nalir Mohomed - BAW2280</v>
          </cell>
        </row>
        <row r="10">
          <cell r="E10" t="str">
            <v>Sampath Paranagama - BAW2304</v>
          </cell>
        </row>
        <row r="11">
          <cell r="E11" t="str">
            <v>Ranusha Fernando - BAW2322</v>
          </cell>
        </row>
        <row r="12">
          <cell r="E12" t="str">
            <v>Tharanga Delpachitra - BAW2325</v>
          </cell>
        </row>
        <row r="13">
          <cell r="E13" t="str">
            <v>Ruwan Jayawardana - BAW2335</v>
          </cell>
        </row>
        <row r="14">
          <cell r="E14" t="str">
            <v>Sameera Kariyawasam - BAW2384</v>
          </cell>
        </row>
        <row r="15">
          <cell r="E15" t="str">
            <v>Dulari Wewegedara - BAW2390</v>
          </cell>
        </row>
        <row r="16">
          <cell r="E16" t="str">
            <v>Rajitha Ranathunga - BAW2448</v>
          </cell>
        </row>
        <row r="17">
          <cell r="E17" t="str">
            <v>Nilanka Imbuldeniya - BAW2467</v>
          </cell>
        </row>
        <row r="18">
          <cell r="E18" t="str">
            <v>Anushaka Rodrigo - BAW716</v>
          </cell>
        </row>
        <row r="19">
          <cell r="E19" t="str">
            <v>Sithmini Chandramali - BAWINT0009</v>
          </cell>
        </row>
        <row r="20">
          <cell r="E20" t="str">
            <v>Chamara Nawarathna - BAWINT0033</v>
          </cell>
        </row>
        <row r="21">
          <cell r="E21" t="str">
            <v>Shashini Stembo - BAWINT0035</v>
          </cell>
        </row>
        <row r="22">
          <cell r="E22" t="str">
            <v>Oshada Katuwawalage - BAWINT0036</v>
          </cell>
        </row>
        <row r="23">
          <cell r="E23" t="str">
            <v>Thilini Lokuliyana - BAWINT0037</v>
          </cell>
        </row>
      </sheetData>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sheetName val="BOM"/>
      <sheetName val="Operations to track"/>
      <sheetName val="Customer Order"/>
      <sheetName val="Data Tables"/>
      <sheetName val="Operations"/>
    </sheetNames>
    <sheetDataSet>
      <sheetData sheetId="0"/>
      <sheetData sheetId="1"/>
      <sheetData sheetId="2"/>
      <sheetData sheetId="3"/>
      <sheetData sheetId="4"/>
      <sheetData sheetId="5">
        <row r="2">
          <cell r="I2" t="str">
            <v>401 - Koggala</v>
          </cell>
        </row>
        <row r="3">
          <cell r="I3" t="str">
            <v>402 - Devon</v>
          </cell>
        </row>
        <row r="4">
          <cell r="I4" t="str">
            <v>403 - Polgahawela</v>
          </cell>
        </row>
        <row r="5">
          <cell r="I5" t="str">
            <v>404 - Nivithigala</v>
          </cell>
        </row>
        <row r="6">
          <cell r="I6" t="str">
            <v>406 - Koggala External Sub Contract</v>
          </cell>
        </row>
        <row r="7">
          <cell r="I7" t="str">
            <v>407 - India</v>
          </cell>
        </row>
        <row r="8">
          <cell r="I8" t="str">
            <v>408 - India External Sub Contract</v>
          </cell>
        </row>
        <row r="9">
          <cell r="I9" t="str">
            <v>409 - Rambukkana</v>
          </cell>
        </row>
        <row r="10">
          <cell r="I10" t="str">
            <v>410 - Nivithigala External Sub Contract</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Tables"/>
      <sheetName val="CO"/>
      <sheetName val="BOM"/>
      <sheetName val="OPS TO TRACK"/>
      <sheetName val="Guide_Lines "/>
    </sheetNames>
    <sheetDataSet>
      <sheetData sheetId="0"/>
      <sheetData sheetId="1"/>
      <sheetData sheetId="2"/>
      <sheetData sheetId="3"/>
      <sheetData sheetId="4"/>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Tables"/>
      <sheetName val="CO"/>
      <sheetName val="BOM"/>
      <sheetName val="OPS TO TRACK"/>
      <sheetName val="Guide_Lines "/>
    </sheetNames>
    <sheetDataSet>
      <sheetData sheetId="0"/>
      <sheetData sheetId="1" refreshError="1"/>
      <sheetData sheetId="2" refreshError="1"/>
      <sheetData sheetId="3" refreshError="1"/>
      <sheetData sheetId="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Tables"/>
      <sheetName val="CO"/>
      <sheetName val="BOM"/>
      <sheetName val="OPS TO TRACK"/>
      <sheetName val="Guide_Lines "/>
    </sheetNames>
    <sheetDataSet>
      <sheetData sheetId="0"/>
      <sheetData sheetId="1"/>
      <sheetData sheetId="2"/>
      <sheetData sheetId="3"/>
      <sheetData sheetId="4"/>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Tables"/>
      <sheetName val="CO"/>
      <sheetName val="BOM"/>
      <sheetName val="OPS TO TRACK"/>
      <sheetName val="Guide_Lines "/>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4" displayName="Table4" ref="D2:D14" totalsRowShown="0" headerRowDxfId="54" dataDxfId="52" headerRowBorderDxfId="53" tableBorderDxfId="51">
  <tableColumns count="1">
    <tableColumn id="3" name="Planner List" dataDxfId="50"/>
  </tableColumns>
  <tableStyleInfo name="TableStyleMedium7" showFirstColumn="0" showLastColumn="0" showRowStripes="0" showColumnStripes="0"/>
</table>
</file>

<file path=xl/tables/table2.xml><?xml version="1.0" encoding="utf-8"?>
<table xmlns="http://schemas.openxmlformats.org/spreadsheetml/2006/main" id="2" name="Table15" displayName="Table15" ref="K2:L4" totalsRowShown="0" headerRowDxfId="49" dataDxfId="47" headerRowBorderDxfId="48" tableBorderDxfId="46" totalsRowBorderDxfId="45">
  <autoFilter ref="K2:L4"/>
  <tableColumns count="2">
    <tableColumn id="1" name="Lead factory" dataDxfId="44"/>
    <tableColumn id="2" name="Factory ID" dataDxfId="43"/>
  </tableColumns>
  <tableStyleInfo name="TableStyleMedium4" showFirstColumn="0" showLastColumn="0" showRowStripes="1" showColumnStripes="0"/>
</table>
</file>

<file path=xl/tables/table3.xml><?xml version="1.0" encoding="utf-8"?>
<table xmlns="http://schemas.openxmlformats.org/spreadsheetml/2006/main" id="3" name="Table49" displayName="Table49" ref="N2:N26" totalsRowShown="0" headerRowDxfId="42" dataDxfId="41">
  <autoFilter ref="N2:N26"/>
  <tableColumns count="1">
    <tableColumn id="1" name="Packing Method" dataDxfId="40"/>
  </tableColumns>
  <tableStyleInfo name="TableStyleMedium3" showFirstColumn="0" showLastColumn="0" showRowStripes="1" showColumnStripes="0"/>
</table>
</file>

<file path=xl/tables/table4.xml><?xml version="1.0" encoding="utf-8"?>
<table xmlns="http://schemas.openxmlformats.org/spreadsheetml/2006/main" id="4" name="Table52" displayName="Table52" ref="P2:P12" totalsRowShown="0" headerRowDxfId="39" dataDxfId="38">
  <autoFilter ref="P2:P12"/>
  <tableColumns count="1">
    <tableColumn id="1" name="Mode" dataDxfId="37"/>
  </tableColumns>
  <tableStyleInfo name="TableStyleMedium2" showFirstColumn="0" showLastColumn="0" showRowStripes="1" showColumnStripes="0"/>
</table>
</file>

<file path=xl/tables/table5.xml><?xml version="1.0" encoding="utf-8"?>
<table xmlns="http://schemas.openxmlformats.org/spreadsheetml/2006/main" id="5" name="Table54" displayName="Table54" ref="R2:R4" totalsRowShown="0" headerRowDxfId="36" dataDxfId="34" headerRowBorderDxfId="35" tableBorderDxfId="33" totalsRowBorderDxfId="32">
  <autoFilter ref="R2:R4"/>
  <tableColumns count="1">
    <tableColumn id="1" name="M&amp;S DES" dataDxfId="31"/>
  </tableColumns>
  <tableStyleInfo name="TableStyleMedium1" showFirstColumn="0" showLastColumn="0" showRowStripes="1" showColumnStripes="0"/>
</table>
</file>

<file path=xl/tables/table6.xml><?xml version="1.0" encoding="utf-8"?>
<table xmlns="http://schemas.openxmlformats.org/spreadsheetml/2006/main" id="6" name="Table55" displayName="Table55" ref="S2:S21" totalsRowShown="0" headerRowDxfId="30" dataDxfId="28" headerRowBorderDxfId="29" tableBorderDxfId="27" totalsRowBorderDxfId="26">
  <autoFilter ref="S2:S21"/>
  <tableColumns count="1">
    <tableColumn id="1" name="H&amp;M DES" dataDxfId="25"/>
  </tableColumns>
  <tableStyleInfo name="TableStyleMedium1" showFirstColumn="0" showLastColumn="0" showRowStripes="1" showColumnStripes="0"/>
</table>
</file>

<file path=xl/tables/table7.xml><?xml version="1.0" encoding="utf-8"?>
<table xmlns="http://schemas.openxmlformats.org/spreadsheetml/2006/main" id="7" name="Table56" displayName="Table56" ref="T2:T5" totalsRowShown="0" headerRowDxfId="24" dataDxfId="22" headerRowBorderDxfId="23" tableBorderDxfId="21" totalsRowBorderDxfId="20">
  <autoFilter ref="T2:T5"/>
  <tableColumns count="1">
    <tableColumn id="1" name="VSS DES" dataDxfId="19"/>
  </tableColumns>
  <tableStyleInfo name="TableStyleMedium1" showFirstColumn="0" showLastColumn="0" showRowStripes="1" showColumnStripes="0"/>
</table>
</file>

<file path=xl/tables/table8.xml><?xml version="1.0" encoding="utf-8"?>
<table xmlns="http://schemas.openxmlformats.org/spreadsheetml/2006/main" id="8" name="Table57" displayName="Table57" ref="U2:U4" totalsRowShown="0" headerRowDxfId="18" dataDxfId="16" headerRowBorderDxfId="17" tableBorderDxfId="15" totalsRowBorderDxfId="14">
  <autoFilter ref="U2:U4"/>
  <tableColumns count="1">
    <tableColumn id="1" name="VSD DES" dataDxfId="13"/>
  </tableColumns>
  <tableStyleInfo name="TableStyleMedium1" showFirstColumn="0" showLastColumn="0" showRowStripes="1" showColumnStripes="0"/>
</table>
</file>

<file path=xl/tables/table9.xml><?xml version="1.0" encoding="utf-8"?>
<table xmlns="http://schemas.openxmlformats.org/spreadsheetml/2006/main" id="9" name="Table58" displayName="Table58" ref="V2:V4" totalsRowShown="0" headerRowDxfId="12" dataDxfId="10" headerRowBorderDxfId="11" tableBorderDxfId="9" totalsRowBorderDxfId="8">
  <autoFilter ref="V2:V4"/>
  <tableColumns count="1">
    <tableColumn id="1" name="MAS DES" dataDxfId="7"/>
  </tableColumns>
  <tableStyleInfo name="TableStyleMedium1" showFirstColumn="0" showLastColumn="0" showRowStripes="1" showColumnStripes="0"/>
</table>
</file>

<file path=xl/tables/table10.xml><?xml version="1.0" encoding="utf-8"?>
<table xmlns="http://schemas.openxmlformats.org/spreadsheetml/2006/main" id="10" name="Table59" displayName="Table59" ref="W2:W4" totalsRowShown="0" headerRowDxfId="6" dataDxfId="4" headerRowBorderDxfId="5" tableBorderDxfId="3" totalsRowBorderDxfId="2">
  <autoFilter ref="W2:W4"/>
  <tableColumns count="1">
    <tableColumn id="1" name="HANES DES" dataDxfId="1"/>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DB1524"/>
  <sheetViews>
    <sheetView topLeftCell="BJ1" zoomScaleNormal="100" workbookViewId="0">
      <selection activeCell="BQ20" sqref="BQ20"/>
    </sheetView>
  </sheetViews>
  <sheetFormatPr defaultRowHeight="11.25" x14ac:dyDescent="0.2"/>
  <cols>
    <col min="1" max="1" width="25.5703125" style="92" bestFit="1" customWidth="1"/>
    <col min="2" max="2" width="23.42578125" style="92" bestFit="1" customWidth="1"/>
    <col min="3" max="3" width="11" style="92" bestFit="1" customWidth="1"/>
    <col min="4" max="4" width="24.85546875" style="92" bestFit="1" customWidth="1"/>
    <col min="5" max="6" width="26.7109375" style="92" bestFit="1" customWidth="1"/>
    <col min="7" max="8" width="9.140625" style="92"/>
    <col min="9" max="9" width="17.28515625" style="92" bestFit="1" customWidth="1"/>
    <col min="10" max="10" width="9.140625" style="92"/>
    <col min="11" max="11" width="21.140625" style="92" bestFit="1" customWidth="1"/>
    <col min="12" max="12" width="9.85546875" style="92" bestFit="1" customWidth="1"/>
    <col min="13" max="13" width="9.140625" style="92"/>
    <col min="14" max="14" width="18.42578125" style="92" bestFit="1" customWidth="1"/>
    <col min="15" max="15" width="9.140625" style="92"/>
    <col min="16" max="16" width="7.28515625" style="92" bestFit="1" customWidth="1"/>
    <col min="17" max="17" width="11" style="92" customWidth="1"/>
    <col min="18" max="18" width="9.28515625" style="92" bestFit="1" customWidth="1"/>
    <col min="19" max="19" width="9.5703125" style="92" bestFit="1" customWidth="1"/>
    <col min="20" max="20" width="8.42578125" style="92" bestFit="1" customWidth="1"/>
    <col min="21" max="21" width="8.7109375" style="92" bestFit="1" customWidth="1"/>
    <col min="22" max="22" width="9.140625" style="92" bestFit="1" customWidth="1"/>
    <col min="23" max="23" width="10.42578125" style="92" bestFit="1" customWidth="1"/>
    <col min="24" max="24" width="11" style="92" customWidth="1"/>
    <col min="25" max="25" width="33.5703125" style="92" bestFit="1" customWidth="1"/>
    <col min="26" max="26" width="30.140625" style="92" bestFit="1" customWidth="1"/>
    <col min="27" max="27" width="9.140625" style="92"/>
    <col min="28" max="28" width="33.5703125" style="92" bestFit="1" customWidth="1"/>
    <col min="29" max="29" width="9.140625" style="92"/>
    <col min="30" max="30" width="23.28515625" style="92" bestFit="1" customWidth="1"/>
    <col min="31" max="31" width="9.140625" style="92"/>
    <col min="32" max="32" width="36.28515625" style="92" bestFit="1" customWidth="1"/>
    <col min="33" max="33" width="12.140625" style="92" bestFit="1" customWidth="1"/>
    <col min="34" max="34" width="30.7109375" style="92" bestFit="1" customWidth="1"/>
    <col min="35" max="35" width="9.140625" style="92"/>
    <col min="36" max="36" width="57" style="92" bestFit="1" customWidth="1"/>
    <col min="37" max="37" width="9.140625" style="92"/>
    <col min="38" max="38" width="8.5703125" style="93" bestFit="1" customWidth="1"/>
    <col min="39" max="39" width="17.42578125" style="92" bestFit="1" customWidth="1"/>
    <col min="40" max="40" width="17.42578125" style="92" customWidth="1"/>
    <col min="41" max="41" width="29.42578125" style="92" bestFit="1" customWidth="1"/>
    <col min="42" max="42" width="9.140625" style="92"/>
    <col min="43" max="43" width="23.7109375" style="92" bestFit="1" customWidth="1"/>
    <col min="44" max="44" width="9.140625" style="92"/>
    <col min="45" max="45" width="34.28515625" style="92" bestFit="1" customWidth="1"/>
    <col min="46" max="46" width="9.140625" style="92"/>
    <col min="47" max="47" width="38.7109375" style="92" bestFit="1" customWidth="1"/>
    <col min="48" max="48" width="9.140625" style="92"/>
    <col min="49" max="49" width="26.42578125" style="92" bestFit="1" customWidth="1"/>
    <col min="50" max="50" width="9.140625" style="92"/>
    <col min="51" max="51" width="25.140625" style="92" bestFit="1" customWidth="1"/>
    <col min="52" max="52" width="9.140625" style="92"/>
    <col min="53" max="53" width="11.5703125" style="92" bestFit="1" customWidth="1"/>
    <col min="54" max="54" width="9.140625" style="92"/>
    <col min="55" max="55" width="20" style="92" bestFit="1" customWidth="1"/>
    <col min="56" max="57" width="17" style="92" customWidth="1"/>
    <col min="58" max="58" width="9.140625" style="92"/>
    <col min="59" max="59" width="17.28515625" style="92" bestFit="1" customWidth="1"/>
    <col min="60" max="60" width="9.140625" style="92"/>
    <col min="61" max="61" width="51.85546875" style="92" bestFit="1" customWidth="1"/>
    <col min="62" max="62" width="9.140625" style="92"/>
    <col min="63" max="63" width="22.28515625" style="92" bestFit="1" customWidth="1"/>
    <col min="64" max="64" width="9.140625" style="92"/>
    <col min="65" max="65" width="22.28515625" style="92" bestFit="1" customWidth="1"/>
    <col min="66" max="66" width="9.140625" style="92"/>
    <col min="67" max="67" width="28.42578125" style="92" bestFit="1" customWidth="1"/>
    <col min="68" max="68" width="9.140625" style="92"/>
    <col min="69" max="69" width="28.42578125" style="92" bestFit="1" customWidth="1"/>
    <col min="70" max="70" width="9.140625" style="92"/>
    <col min="71" max="71" width="22.28515625" style="92" bestFit="1" customWidth="1"/>
    <col min="72" max="72" width="9.140625" style="92"/>
    <col min="73" max="73" width="15.28515625" style="92" bestFit="1" customWidth="1"/>
    <col min="74" max="74" width="9.140625" style="92"/>
    <col min="75" max="75" width="11.5703125" style="92" bestFit="1" customWidth="1"/>
    <col min="76" max="76" width="9.140625" style="92"/>
    <col min="77" max="77" width="28.7109375" style="92" bestFit="1" customWidth="1"/>
    <col min="78" max="261" width="9.140625" style="92"/>
    <col min="262" max="262" width="37.42578125" style="92" bestFit="1" customWidth="1"/>
    <col min="263" max="264" width="0" style="92" hidden="1" customWidth="1"/>
    <col min="265" max="265" width="32.28515625" style="92" bestFit="1" customWidth="1"/>
    <col min="266" max="267" width="34.5703125" style="92" bestFit="1" customWidth="1"/>
    <col min="268" max="269" width="9.140625" style="92"/>
    <col min="270" max="270" width="22.28515625" style="92" bestFit="1" customWidth="1"/>
    <col min="271" max="271" width="9.140625" style="92"/>
    <col min="272" max="272" width="30.7109375" style="92" bestFit="1" customWidth="1"/>
    <col min="273" max="273" width="11" style="92" customWidth="1"/>
    <col min="274" max="274" width="9.140625" style="92"/>
    <col min="275" max="275" width="24.28515625" style="92" bestFit="1" customWidth="1"/>
    <col min="276" max="276" width="9.140625" style="92"/>
    <col min="277" max="278" width="11" style="92" customWidth="1"/>
    <col min="279" max="279" width="11.42578125" style="92" bestFit="1" customWidth="1"/>
    <col min="280" max="280" width="11.7109375" style="92" bestFit="1" customWidth="1"/>
    <col min="281" max="281" width="10.28515625" style="92" bestFit="1" customWidth="1"/>
    <col min="282" max="285" width="11" style="92" customWidth="1"/>
    <col min="286" max="286" width="45.5703125" style="92" bestFit="1" customWidth="1"/>
    <col min="287" max="287" width="39.85546875" style="92" bestFit="1" customWidth="1"/>
    <col min="288" max="288" width="9.140625" style="92"/>
    <col min="289" max="289" width="45.5703125" style="92" bestFit="1" customWidth="1"/>
    <col min="290" max="290" width="9.140625" style="92"/>
    <col min="291" max="291" width="30.28515625" style="92" bestFit="1" customWidth="1"/>
    <col min="292" max="292" width="9.140625" style="92"/>
    <col min="293" max="293" width="40" style="92" bestFit="1" customWidth="1"/>
    <col min="294" max="295" width="0" style="92" hidden="1" customWidth="1"/>
    <col min="296" max="298" width="9.140625" style="92"/>
    <col min="299" max="300" width="0" style="92" hidden="1" customWidth="1"/>
    <col min="301" max="517" width="9.140625" style="92"/>
    <col min="518" max="518" width="37.42578125" style="92" bestFit="1" customWidth="1"/>
    <col min="519" max="520" width="0" style="92" hidden="1" customWidth="1"/>
    <col min="521" max="521" width="32.28515625" style="92" bestFit="1" customWidth="1"/>
    <col min="522" max="523" width="34.5703125" style="92" bestFit="1" customWidth="1"/>
    <col min="524" max="525" width="9.140625" style="92"/>
    <col min="526" max="526" width="22.28515625" style="92" bestFit="1" customWidth="1"/>
    <col min="527" max="527" width="9.140625" style="92"/>
    <col min="528" max="528" width="30.7109375" style="92" bestFit="1" customWidth="1"/>
    <col min="529" max="529" width="11" style="92" customWidth="1"/>
    <col min="530" max="530" width="9.140625" style="92"/>
    <col min="531" max="531" width="24.28515625" style="92" bestFit="1" customWidth="1"/>
    <col min="532" max="532" width="9.140625" style="92"/>
    <col min="533" max="534" width="11" style="92" customWidth="1"/>
    <col min="535" max="535" width="11.42578125" style="92" bestFit="1" customWidth="1"/>
    <col min="536" max="536" width="11.7109375" style="92" bestFit="1" customWidth="1"/>
    <col min="537" max="537" width="10.28515625" style="92" bestFit="1" customWidth="1"/>
    <col min="538" max="541" width="11" style="92" customWidth="1"/>
    <col min="542" max="542" width="45.5703125" style="92" bestFit="1" customWidth="1"/>
    <col min="543" max="543" width="39.85546875" style="92" bestFit="1" customWidth="1"/>
    <col min="544" max="544" width="9.140625" style="92"/>
    <col min="545" max="545" width="45.5703125" style="92" bestFit="1" customWidth="1"/>
    <col min="546" max="546" width="9.140625" style="92"/>
    <col min="547" max="547" width="30.28515625" style="92" bestFit="1" customWidth="1"/>
    <col min="548" max="548" width="9.140625" style="92"/>
    <col min="549" max="549" width="40" style="92" bestFit="1" customWidth="1"/>
    <col min="550" max="551" width="0" style="92" hidden="1" customWidth="1"/>
    <col min="552" max="554" width="9.140625" style="92"/>
    <col min="555" max="556" width="0" style="92" hidden="1" customWidth="1"/>
    <col min="557" max="773" width="9.140625" style="92"/>
    <col min="774" max="774" width="37.42578125" style="92" bestFit="1" customWidth="1"/>
    <col min="775" max="776" width="0" style="92" hidden="1" customWidth="1"/>
    <col min="777" max="777" width="32.28515625" style="92" bestFit="1" customWidth="1"/>
    <col min="778" max="779" width="34.5703125" style="92" bestFit="1" customWidth="1"/>
    <col min="780" max="781" width="9.140625" style="92"/>
    <col min="782" max="782" width="22.28515625" style="92" bestFit="1" customWidth="1"/>
    <col min="783" max="783" width="9.140625" style="92"/>
    <col min="784" max="784" width="30.7109375" style="92" bestFit="1" customWidth="1"/>
    <col min="785" max="785" width="11" style="92" customWidth="1"/>
    <col min="786" max="786" width="9.140625" style="92"/>
    <col min="787" max="787" width="24.28515625" style="92" bestFit="1" customWidth="1"/>
    <col min="788" max="788" width="9.140625" style="92"/>
    <col min="789" max="790" width="11" style="92" customWidth="1"/>
    <col min="791" max="791" width="11.42578125" style="92" bestFit="1" customWidth="1"/>
    <col min="792" max="792" width="11.7109375" style="92" bestFit="1" customWidth="1"/>
    <col min="793" max="793" width="10.28515625" style="92" bestFit="1" customWidth="1"/>
    <col min="794" max="797" width="11" style="92" customWidth="1"/>
    <col min="798" max="798" width="45.5703125" style="92" bestFit="1" customWidth="1"/>
    <col min="799" max="799" width="39.85546875" style="92" bestFit="1" customWidth="1"/>
    <col min="800" max="800" width="9.140625" style="92"/>
    <col min="801" max="801" width="45.5703125" style="92" bestFit="1" customWidth="1"/>
    <col min="802" max="802" width="9.140625" style="92"/>
    <col min="803" max="803" width="30.28515625" style="92" bestFit="1" customWidth="1"/>
    <col min="804" max="804" width="9.140625" style="92"/>
    <col min="805" max="805" width="40" style="92" bestFit="1" customWidth="1"/>
    <col min="806" max="807" width="0" style="92" hidden="1" customWidth="1"/>
    <col min="808" max="810" width="9.140625" style="92"/>
    <col min="811" max="812" width="0" style="92" hidden="1" customWidth="1"/>
    <col min="813" max="1029" width="9.140625" style="92"/>
    <col min="1030" max="1030" width="37.42578125" style="92" bestFit="1" customWidth="1"/>
    <col min="1031" max="1032" width="0" style="92" hidden="1" customWidth="1"/>
    <col min="1033" max="1033" width="32.28515625" style="92" bestFit="1" customWidth="1"/>
    <col min="1034" max="1035" width="34.5703125" style="92" bestFit="1" customWidth="1"/>
    <col min="1036" max="1037" width="9.140625" style="92"/>
    <col min="1038" max="1038" width="22.28515625" style="92" bestFit="1" customWidth="1"/>
    <col min="1039" max="1039" width="9.140625" style="92"/>
    <col min="1040" max="1040" width="30.7109375" style="92" bestFit="1" customWidth="1"/>
    <col min="1041" max="1041" width="11" style="92" customWidth="1"/>
    <col min="1042" max="1042" width="9.140625" style="92"/>
    <col min="1043" max="1043" width="24.28515625" style="92" bestFit="1" customWidth="1"/>
    <col min="1044" max="1044" width="9.140625" style="92"/>
    <col min="1045" max="1046" width="11" style="92" customWidth="1"/>
    <col min="1047" max="1047" width="11.42578125" style="92" bestFit="1" customWidth="1"/>
    <col min="1048" max="1048" width="11.7109375" style="92" bestFit="1" customWidth="1"/>
    <col min="1049" max="1049" width="10.28515625" style="92" bestFit="1" customWidth="1"/>
    <col min="1050" max="1053" width="11" style="92" customWidth="1"/>
    <col min="1054" max="1054" width="45.5703125" style="92" bestFit="1" customWidth="1"/>
    <col min="1055" max="1055" width="39.85546875" style="92" bestFit="1" customWidth="1"/>
    <col min="1056" max="1056" width="9.140625" style="92"/>
    <col min="1057" max="1057" width="45.5703125" style="92" bestFit="1" customWidth="1"/>
    <col min="1058" max="1058" width="9.140625" style="92"/>
    <col min="1059" max="1059" width="30.28515625" style="92" bestFit="1" customWidth="1"/>
    <col min="1060" max="1060" width="9.140625" style="92"/>
    <col min="1061" max="1061" width="40" style="92" bestFit="1" customWidth="1"/>
    <col min="1062" max="1063" width="0" style="92" hidden="1" customWidth="1"/>
    <col min="1064" max="1066" width="9.140625" style="92"/>
    <col min="1067" max="1068" width="0" style="92" hidden="1" customWidth="1"/>
    <col min="1069" max="1285" width="9.140625" style="92"/>
    <col min="1286" max="1286" width="37.42578125" style="92" bestFit="1" customWidth="1"/>
    <col min="1287" max="1288" width="0" style="92" hidden="1" customWidth="1"/>
    <col min="1289" max="1289" width="32.28515625" style="92" bestFit="1" customWidth="1"/>
    <col min="1290" max="1291" width="34.5703125" style="92" bestFit="1" customWidth="1"/>
    <col min="1292" max="1293" width="9.140625" style="92"/>
    <col min="1294" max="1294" width="22.28515625" style="92" bestFit="1" customWidth="1"/>
    <col min="1295" max="1295" width="9.140625" style="92"/>
    <col min="1296" max="1296" width="30.7109375" style="92" bestFit="1" customWidth="1"/>
    <col min="1297" max="1297" width="11" style="92" customWidth="1"/>
    <col min="1298" max="1298" width="9.140625" style="92"/>
    <col min="1299" max="1299" width="24.28515625" style="92" bestFit="1" customWidth="1"/>
    <col min="1300" max="1300" width="9.140625" style="92"/>
    <col min="1301" max="1302" width="11" style="92" customWidth="1"/>
    <col min="1303" max="1303" width="11.42578125" style="92" bestFit="1" customWidth="1"/>
    <col min="1304" max="1304" width="11.7109375" style="92" bestFit="1" customWidth="1"/>
    <col min="1305" max="1305" width="10.28515625" style="92" bestFit="1" customWidth="1"/>
    <col min="1306" max="1309" width="11" style="92" customWidth="1"/>
    <col min="1310" max="1310" width="45.5703125" style="92" bestFit="1" customWidth="1"/>
    <col min="1311" max="1311" width="39.85546875" style="92" bestFit="1" customWidth="1"/>
    <col min="1312" max="1312" width="9.140625" style="92"/>
    <col min="1313" max="1313" width="45.5703125" style="92" bestFit="1" customWidth="1"/>
    <col min="1314" max="1314" width="9.140625" style="92"/>
    <col min="1315" max="1315" width="30.28515625" style="92" bestFit="1" customWidth="1"/>
    <col min="1316" max="1316" width="9.140625" style="92"/>
    <col min="1317" max="1317" width="40" style="92" bestFit="1" customWidth="1"/>
    <col min="1318" max="1319" width="0" style="92" hidden="1" customWidth="1"/>
    <col min="1320" max="1322" width="9.140625" style="92"/>
    <col min="1323" max="1324" width="0" style="92" hidden="1" customWidth="1"/>
    <col min="1325" max="1541" width="9.140625" style="92"/>
    <col min="1542" max="1542" width="37.42578125" style="92" bestFit="1" customWidth="1"/>
    <col min="1543" max="1544" width="0" style="92" hidden="1" customWidth="1"/>
    <col min="1545" max="1545" width="32.28515625" style="92" bestFit="1" customWidth="1"/>
    <col min="1546" max="1547" width="34.5703125" style="92" bestFit="1" customWidth="1"/>
    <col min="1548" max="1549" width="9.140625" style="92"/>
    <col min="1550" max="1550" width="22.28515625" style="92" bestFit="1" customWidth="1"/>
    <col min="1551" max="1551" width="9.140625" style="92"/>
    <col min="1552" max="1552" width="30.7109375" style="92" bestFit="1" customWidth="1"/>
    <col min="1553" max="1553" width="11" style="92" customWidth="1"/>
    <col min="1554" max="1554" width="9.140625" style="92"/>
    <col min="1555" max="1555" width="24.28515625" style="92" bestFit="1" customWidth="1"/>
    <col min="1556" max="1556" width="9.140625" style="92"/>
    <col min="1557" max="1558" width="11" style="92" customWidth="1"/>
    <col min="1559" max="1559" width="11.42578125" style="92" bestFit="1" customWidth="1"/>
    <col min="1560" max="1560" width="11.7109375" style="92" bestFit="1" customWidth="1"/>
    <col min="1561" max="1561" width="10.28515625" style="92" bestFit="1" customWidth="1"/>
    <col min="1562" max="1565" width="11" style="92" customWidth="1"/>
    <col min="1566" max="1566" width="45.5703125" style="92" bestFit="1" customWidth="1"/>
    <col min="1567" max="1567" width="39.85546875" style="92" bestFit="1" customWidth="1"/>
    <col min="1568" max="1568" width="9.140625" style="92"/>
    <col min="1569" max="1569" width="45.5703125" style="92" bestFit="1" customWidth="1"/>
    <col min="1570" max="1570" width="9.140625" style="92"/>
    <col min="1571" max="1571" width="30.28515625" style="92" bestFit="1" customWidth="1"/>
    <col min="1572" max="1572" width="9.140625" style="92"/>
    <col min="1573" max="1573" width="40" style="92" bestFit="1" customWidth="1"/>
    <col min="1574" max="1575" width="0" style="92" hidden="1" customWidth="1"/>
    <col min="1576" max="1578" width="9.140625" style="92"/>
    <col min="1579" max="1580" width="0" style="92" hidden="1" customWidth="1"/>
    <col min="1581" max="1797" width="9.140625" style="92"/>
    <col min="1798" max="1798" width="37.42578125" style="92" bestFit="1" customWidth="1"/>
    <col min="1799" max="1800" width="0" style="92" hidden="1" customWidth="1"/>
    <col min="1801" max="1801" width="32.28515625" style="92" bestFit="1" customWidth="1"/>
    <col min="1802" max="1803" width="34.5703125" style="92" bestFit="1" customWidth="1"/>
    <col min="1804" max="1805" width="9.140625" style="92"/>
    <col min="1806" max="1806" width="22.28515625" style="92" bestFit="1" customWidth="1"/>
    <col min="1807" max="1807" width="9.140625" style="92"/>
    <col min="1808" max="1808" width="30.7109375" style="92" bestFit="1" customWidth="1"/>
    <col min="1809" max="1809" width="11" style="92" customWidth="1"/>
    <col min="1810" max="1810" width="9.140625" style="92"/>
    <col min="1811" max="1811" width="24.28515625" style="92" bestFit="1" customWidth="1"/>
    <col min="1812" max="1812" width="9.140625" style="92"/>
    <col min="1813" max="1814" width="11" style="92" customWidth="1"/>
    <col min="1815" max="1815" width="11.42578125" style="92" bestFit="1" customWidth="1"/>
    <col min="1816" max="1816" width="11.7109375" style="92" bestFit="1" customWidth="1"/>
    <col min="1817" max="1817" width="10.28515625" style="92" bestFit="1" customWidth="1"/>
    <col min="1818" max="1821" width="11" style="92" customWidth="1"/>
    <col min="1822" max="1822" width="45.5703125" style="92" bestFit="1" customWidth="1"/>
    <col min="1823" max="1823" width="39.85546875" style="92" bestFit="1" customWidth="1"/>
    <col min="1824" max="1824" width="9.140625" style="92"/>
    <col min="1825" max="1825" width="45.5703125" style="92" bestFit="1" customWidth="1"/>
    <col min="1826" max="1826" width="9.140625" style="92"/>
    <col min="1827" max="1827" width="30.28515625" style="92" bestFit="1" customWidth="1"/>
    <col min="1828" max="1828" width="9.140625" style="92"/>
    <col min="1829" max="1829" width="40" style="92" bestFit="1" customWidth="1"/>
    <col min="1830" max="1831" width="0" style="92" hidden="1" customWidth="1"/>
    <col min="1832" max="1834" width="9.140625" style="92"/>
    <col min="1835" max="1836" width="0" style="92" hidden="1" customWidth="1"/>
    <col min="1837" max="2053" width="9.140625" style="92"/>
    <col min="2054" max="2054" width="37.42578125" style="92" bestFit="1" customWidth="1"/>
    <col min="2055" max="2056" width="0" style="92" hidden="1" customWidth="1"/>
    <col min="2057" max="2057" width="32.28515625" style="92" bestFit="1" customWidth="1"/>
    <col min="2058" max="2059" width="34.5703125" style="92" bestFit="1" customWidth="1"/>
    <col min="2060" max="2061" width="9.140625" style="92"/>
    <col min="2062" max="2062" width="22.28515625" style="92" bestFit="1" customWidth="1"/>
    <col min="2063" max="2063" width="9.140625" style="92"/>
    <col min="2064" max="2064" width="30.7109375" style="92" bestFit="1" customWidth="1"/>
    <col min="2065" max="2065" width="11" style="92" customWidth="1"/>
    <col min="2066" max="2066" width="9.140625" style="92"/>
    <col min="2067" max="2067" width="24.28515625" style="92" bestFit="1" customWidth="1"/>
    <col min="2068" max="2068" width="9.140625" style="92"/>
    <col min="2069" max="2070" width="11" style="92" customWidth="1"/>
    <col min="2071" max="2071" width="11.42578125" style="92" bestFit="1" customWidth="1"/>
    <col min="2072" max="2072" width="11.7109375" style="92" bestFit="1" customWidth="1"/>
    <col min="2073" max="2073" width="10.28515625" style="92" bestFit="1" customWidth="1"/>
    <col min="2074" max="2077" width="11" style="92" customWidth="1"/>
    <col min="2078" max="2078" width="45.5703125" style="92" bestFit="1" customWidth="1"/>
    <col min="2079" max="2079" width="39.85546875" style="92" bestFit="1" customWidth="1"/>
    <col min="2080" max="2080" width="9.140625" style="92"/>
    <col min="2081" max="2081" width="45.5703125" style="92" bestFit="1" customWidth="1"/>
    <col min="2082" max="2082" width="9.140625" style="92"/>
    <col min="2083" max="2083" width="30.28515625" style="92" bestFit="1" customWidth="1"/>
    <col min="2084" max="2084" width="9.140625" style="92"/>
    <col min="2085" max="2085" width="40" style="92" bestFit="1" customWidth="1"/>
    <col min="2086" max="2087" width="0" style="92" hidden="1" customWidth="1"/>
    <col min="2088" max="2090" width="9.140625" style="92"/>
    <col min="2091" max="2092" width="0" style="92" hidden="1" customWidth="1"/>
    <col min="2093" max="2309" width="9.140625" style="92"/>
    <col min="2310" max="2310" width="37.42578125" style="92" bestFit="1" customWidth="1"/>
    <col min="2311" max="2312" width="0" style="92" hidden="1" customWidth="1"/>
    <col min="2313" max="2313" width="32.28515625" style="92" bestFit="1" customWidth="1"/>
    <col min="2314" max="2315" width="34.5703125" style="92" bestFit="1" customWidth="1"/>
    <col min="2316" max="2317" width="9.140625" style="92"/>
    <col min="2318" max="2318" width="22.28515625" style="92" bestFit="1" customWidth="1"/>
    <col min="2319" max="2319" width="9.140625" style="92"/>
    <col min="2320" max="2320" width="30.7109375" style="92" bestFit="1" customWidth="1"/>
    <col min="2321" max="2321" width="11" style="92" customWidth="1"/>
    <col min="2322" max="2322" width="9.140625" style="92"/>
    <col min="2323" max="2323" width="24.28515625" style="92" bestFit="1" customWidth="1"/>
    <col min="2324" max="2324" width="9.140625" style="92"/>
    <col min="2325" max="2326" width="11" style="92" customWidth="1"/>
    <col min="2327" max="2327" width="11.42578125" style="92" bestFit="1" customWidth="1"/>
    <col min="2328" max="2328" width="11.7109375" style="92" bestFit="1" customWidth="1"/>
    <col min="2329" max="2329" width="10.28515625" style="92" bestFit="1" customWidth="1"/>
    <col min="2330" max="2333" width="11" style="92" customWidth="1"/>
    <col min="2334" max="2334" width="45.5703125" style="92" bestFit="1" customWidth="1"/>
    <col min="2335" max="2335" width="39.85546875" style="92" bestFit="1" customWidth="1"/>
    <col min="2336" max="2336" width="9.140625" style="92"/>
    <col min="2337" max="2337" width="45.5703125" style="92" bestFit="1" customWidth="1"/>
    <col min="2338" max="2338" width="9.140625" style="92"/>
    <col min="2339" max="2339" width="30.28515625" style="92" bestFit="1" customWidth="1"/>
    <col min="2340" max="2340" width="9.140625" style="92"/>
    <col min="2341" max="2341" width="40" style="92" bestFit="1" customWidth="1"/>
    <col min="2342" max="2343" width="0" style="92" hidden="1" customWidth="1"/>
    <col min="2344" max="2346" width="9.140625" style="92"/>
    <col min="2347" max="2348" width="0" style="92" hidden="1" customWidth="1"/>
    <col min="2349" max="2565" width="9.140625" style="92"/>
    <col min="2566" max="2566" width="37.42578125" style="92" bestFit="1" customWidth="1"/>
    <col min="2567" max="2568" width="0" style="92" hidden="1" customWidth="1"/>
    <col min="2569" max="2569" width="32.28515625" style="92" bestFit="1" customWidth="1"/>
    <col min="2570" max="2571" width="34.5703125" style="92" bestFit="1" customWidth="1"/>
    <col min="2572" max="2573" width="9.140625" style="92"/>
    <col min="2574" max="2574" width="22.28515625" style="92" bestFit="1" customWidth="1"/>
    <col min="2575" max="2575" width="9.140625" style="92"/>
    <col min="2576" max="2576" width="30.7109375" style="92" bestFit="1" customWidth="1"/>
    <col min="2577" max="2577" width="11" style="92" customWidth="1"/>
    <col min="2578" max="2578" width="9.140625" style="92"/>
    <col min="2579" max="2579" width="24.28515625" style="92" bestFit="1" customWidth="1"/>
    <col min="2580" max="2580" width="9.140625" style="92"/>
    <col min="2581" max="2582" width="11" style="92" customWidth="1"/>
    <col min="2583" max="2583" width="11.42578125" style="92" bestFit="1" customWidth="1"/>
    <col min="2584" max="2584" width="11.7109375" style="92" bestFit="1" customWidth="1"/>
    <col min="2585" max="2585" width="10.28515625" style="92" bestFit="1" customWidth="1"/>
    <col min="2586" max="2589" width="11" style="92" customWidth="1"/>
    <col min="2590" max="2590" width="45.5703125" style="92" bestFit="1" customWidth="1"/>
    <col min="2591" max="2591" width="39.85546875" style="92" bestFit="1" customWidth="1"/>
    <col min="2592" max="2592" width="9.140625" style="92"/>
    <col min="2593" max="2593" width="45.5703125" style="92" bestFit="1" customWidth="1"/>
    <col min="2594" max="2594" width="9.140625" style="92"/>
    <col min="2595" max="2595" width="30.28515625" style="92" bestFit="1" customWidth="1"/>
    <col min="2596" max="2596" width="9.140625" style="92"/>
    <col min="2597" max="2597" width="40" style="92" bestFit="1" customWidth="1"/>
    <col min="2598" max="2599" width="0" style="92" hidden="1" customWidth="1"/>
    <col min="2600" max="2602" width="9.140625" style="92"/>
    <col min="2603" max="2604" width="0" style="92" hidden="1" customWidth="1"/>
    <col min="2605" max="2821" width="9.140625" style="92"/>
    <col min="2822" max="2822" width="37.42578125" style="92" bestFit="1" customWidth="1"/>
    <col min="2823" max="2824" width="0" style="92" hidden="1" customWidth="1"/>
    <col min="2825" max="2825" width="32.28515625" style="92" bestFit="1" customWidth="1"/>
    <col min="2826" max="2827" width="34.5703125" style="92" bestFit="1" customWidth="1"/>
    <col min="2828" max="2829" width="9.140625" style="92"/>
    <col min="2830" max="2830" width="22.28515625" style="92" bestFit="1" customWidth="1"/>
    <col min="2831" max="2831" width="9.140625" style="92"/>
    <col min="2832" max="2832" width="30.7109375" style="92" bestFit="1" customWidth="1"/>
    <col min="2833" max="2833" width="11" style="92" customWidth="1"/>
    <col min="2834" max="2834" width="9.140625" style="92"/>
    <col min="2835" max="2835" width="24.28515625" style="92" bestFit="1" customWidth="1"/>
    <col min="2836" max="2836" width="9.140625" style="92"/>
    <col min="2837" max="2838" width="11" style="92" customWidth="1"/>
    <col min="2839" max="2839" width="11.42578125" style="92" bestFit="1" customWidth="1"/>
    <col min="2840" max="2840" width="11.7109375" style="92" bestFit="1" customWidth="1"/>
    <col min="2841" max="2841" width="10.28515625" style="92" bestFit="1" customWidth="1"/>
    <col min="2842" max="2845" width="11" style="92" customWidth="1"/>
    <col min="2846" max="2846" width="45.5703125" style="92" bestFit="1" customWidth="1"/>
    <col min="2847" max="2847" width="39.85546875" style="92" bestFit="1" customWidth="1"/>
    <col min="2848" max="2848" width="9.140625" style="92"/>
    <col min="2849" max="2849" width="45.5703125" style="92" bestFit="1" customWidth="1"/>
    <col min="2850" max="2850" width="9.140625" style="92"/>
    <col min="2851" max="2851" width="30.28515625" style="92" bestFit="1" customWidth="1"/>
    <col min="2852" max="2852" width="9.140625" style="92"/>
    <col min="2853" max="2853" width="40" style="92" bestFit="1" customWidth="1"/>
    <col min="2854" max="2855" width="0" style="92" hidden="1" customWidth="1"/>
    <col min="2856" max="2858" width="9.140625" style="92"/>
    <col min="2859" max="2860" width="0" style="92" hidden="1" customWidth="1"/>
    <col min="2861" max="3077" width="9.140625" style="92"/>
    <col min="3078" max="3078" width="37.42578125" style="92" bestFit="1" customWidth="1"/>
    <col min="3079" max="3080" width="0" style="92" hidden="1" customWidth="1"/>
    <col min="3081" max="3081" width="32.28515625" style="92" bestFit="1" customWidth="1"/>
    <col min="3082" max="3083" width="34.5703125" style="92" bestFit="1" customWidth="1"/>
    <col min="3084" max="3085" width="9.140625" style="92"/>
    <col min="3086" max="3086" width="22.28515625" style="92" bestFit="1" customWidth="1"/>
    <col min="3087" max="3087" width="9.140625" style="92"/>
    <col min="3088" max="3088" width="30.7109375" style="92" bestFit="1" customWidth="1"/>
    <col min="3089" max="3089" width="11" style="92" customWidth="1"/>
    <col min="3090" max="3090" width="9.140625" style="92"/>
    <col min="3091" max="3091" width="24.28515625" style="92" bestFit="1" customWidth="1"/>
    <col min="3092" max="3092" width="9.140625" style="92"/>
    <col min="3093" max="3094" width="11" style="92" customWidth="1"/>
    <col min="3095" max="3095" width="11.42578125" style="92" bestFit="1" customWidth="1"/>
    <col min="3096" max="3096" width="11.7109375" style="92" bestFit="1" customWidth="1"/>
    <col min="3097" max="3097" width="10.28515625" style="92" bestFit="1" customWidth="1"/>
    <col min="3098" max="3101" width="11" style="92" customWidth="1"/>
    <col min="3102" max="3102" width="45.5703125" style="92" bestFit="1" customWidth="1"/>
    <col min="3103" max="3103" width="39.85546875" style="92" bestFit="1" customWidth="1"/>
    <col min="3104" max="3104" width="9.140625" style="92"/>
    <col min="3105" max="3105" width="45.5703125" style="92" bestFit="1" customWidth="1"/>
    <col min="3106" max="3106" width="9.140625" style="92"/>
    <col min="3107" max="3107" width="30.28515625" style="92" bestFit="1" customWidth="1"/>
    <col min="3108" max="3108" width="9.140625" style="92"/>
    <col min="3109" max="3109" width="40" style="92" bestFit="1" customWidth="1"/>
    <col min="3110" max="3111" width="0" style="92" hidden="1" customWidth="1"/>
    <col min="3112" max="3114" width="9.140625" style="92"/>
    <col min="3115" max="3116" width="0" style="92" hidden="1" customWidth="1"/>
    <col min="3117" max="3333" width="9.140625" style="92"/>
    <col min="3334" max="3334" width="37.42578125" style="92" bestFit="1" customWidth="1"/>
    <col min="3335" max="3336" width="0" style="92" hidden="1" customWidth="1"/>
    <col min="3337" max="3337" width="32.28515625" style="92" bestFit="1" customWidth="1"/>
    <col min="3338" max="3339" width="34.5703125" style="92" bestFit="1" customWidth="1"/>
    <col min="3340" max="3341" width="9.140625" style="92"/>
    <col min="3342" max="3342" width="22.28515625" style="92" bestFit="1" customWidth="1"/>
    <col min="3343" max="3343" width="9.140625" style="92"/>
    <col min="3344" max="3344" width="30.7109375" style="92" bestFit="1" customWidth="1"/>
    <col min="3345" max="3345" width="11" style="92" customWidth="1"/>
    <col min="3346" max="3346" width="9.140625" style="92"/>
    <col min="3347" max="3347" width="24.28515625" style="92" bestFit="1" customWidth="1"/>
    <col min="3348" max="3348" width="9.140625" style="92"/>
    <col min="3349" max="3350" width="11" style="92" customWidth="1"/>
    <col min="3351" max="3351" width="11.42578125" style="92" bestFit="1" customWidth="1"/>
    <col min="3352" max="3352" width="11.7109375" style="92" bestFit="1" customWidth="1"/>
    <col min="3353" max="3353" width="10.28515625" style="92" bestFit="1" customWidth="1"/>
    <col min="3354" max="3357" width="11" style="92" customWidth="1"/>
    <col min="3358" max="3358" width="45.5703125" style="92" bestFit="1" customWidth="1"/>
    <col min="3359" max="3359" width="39.85546875" style="92" bestFit="1" customWidth="1"/>
    <col min="3360" max="3360" width="9.140625" style="92"/>
    <col min="3361" max="3361" width="45.5703125" style="92" bestFit="1" customWidth="1"/>
    <col min="3362" max="3362" width="9.140625" style="92"/>
    <col min="3363" max="3363" width="30.28515625" style="92" bestFit="1" customWidth="1"/>
    <col min="3364" max="3364" width="9.140625" style="92"/>
    <col min="3365" max="3365" width="40" style="92" bestFit="1" customWidth="1"/>
    <col min="3366" max="3367" width="0" style="92" hidden="1" customWidth="1"/>
    <col min="3368" max="3370" width="9.140625" style="92"/>
    <col min="3371" max="3372" width="0" style="92" hidden="1" customWidth="1"/>
    <col min="3373" max="3589" width="9.140625" style="92"/>
    <col min="3590" max="3590" width="37.42578125" style="92" bestFit="1" customWidth="1"/>
    <col min="3591" max="3592" width="0" style="92" hidden="1" customWidth="1"/>
    <col min="3593" max="3593" width="32.28515625" style="92" bestFit="1" customWidth="1"/>
    <col min="3594" max="3595" width="34.5703125" style="92" bestFit="1" customWidth="1"/>
    <col min="3596" max="3597" width="9.140625" style="92"/>
    <col min="3598" max="3598" width="22.28515625" style="92" bestFit="1" customWidth="1"/>
    <col min="3599" max="3599" width="9.140625" style="92"/>
    <col min="3600" max="3600" width="30.7109375" style="92" bestFit="1" customWidth="1"/>
    <col min="3601" max="3601" width="11" style="92" customWidth="1"/>
    <col min="3602" max="3602" width="9.140625" style="92"/>
    <col min="3603" max="3603" width="24.28515625" style="92" bestFit="1" customWidth="1"/>
    <col min="3604" max="3604" width="9.140625" style="92"/>
    <col min="3605" max="3606" width="11" style="92" customWidth="1"/>
    <col min="3607" max="3607" width="11.42578125" style="92" bestFit="1" customWidth="1"/>
    <col min="3608" max="3608" width="11.7109375" style="92" bestFit="1" customWidth="1"/>
    <col min="3609" max="3609" width="10.28515625" style="92" bestFit="1" customWidth="1"/>
    <col min="3610" max="3613" width="11" style="92" customWidth="1"/>
    <col min="3614" max="3614" width="45.5703125" style="92" bestFit="1" customWidth="1"/>
    <col min="3615" max="3615" width="39.85546875" style="92" bestFit="1" customWidth="1"/>
    <col min="3616" max="3616" width="9.140625" style="92"/>
    <col min="3617" max="3617" width="45.5703125" style="92" bestFit="1" customWidth="1"/>
    <col min="3618" max="3618" width="9.140625" style="92"/>
    <col min="3619" max="3619" width="30.28515625" style="92" bestFit="1" customWidth="1"/>
    <col min="3620" max="3620" width="9.140625" style="92"/>
    <col min="3621" max="3621" width="40" style="92" bestFit="1" customWidth="1"/>
    <col min="3622" max="3623" width="0" style="92" hidden="1" customWidth="1"/>
    <col min="3624" max="3626" width="9.140625" style="92"/>
    <col min="3627" max="3628" width="0" style="92" hidden="1" customWidth="1"/>
    <col min="3629" max="3845" width="9.140625" style="92"/>
    <col min="3846" max="3846" width="37.42578125" style="92" bestFit="1" customWidth="1"/>
    <col min="3847" max="3848" width="0" style="92" hidden="1" customWidth="1"/>
    <col min="3849" max="3849" width="32.28515625" style="92" bestFit="1" customWidth="1"/>
    <col min="3850" max="3851" width="34.5703125" style="92" bestFit="1" customWidth="1"/>
    <col min="3852" max="3853" width="9.140625" style="92"/>
    <col min="3854" max="3854" width="22.28515625" style="92" bestFit="1" customWidth="1"/>
    <col min="3855" max="3855" width="9.140625" style="92"/>
    <col min="3856" max="3856" width="30.7109375" style="92" bestFit="1" customWidth="1"/>
    <col min="3857" max="3857" width="11" style="92" customWidth="1"/>
    <col min="3858" max="3858" width="9.140625" style="92"/>
    <col min="3859" max="3859" width="24.28515625" style="92" bestFit="1" customWidth="1"/>
    <col min="3860" max="3860" width="9.140625" style="92"/>
    <col min="3861" max="3862" width="11" style="92" customWidth="1"/>
    <col min="3863" max="3863" width="11.42578125" style="92" bestFit="1" customWidth="1"/>
    <col min="3864" max="3864" width="11.7109375" style="92" bestFit="1" customWidth="1"/>
    <col min="3865" max="3865" width="10.28515625" style="92" bestFit="1" customWidth="1"/>
    <col min="3866" max="3869" width="11" style="92" customWidth="1"/>
    <col min="3870" max="3870" width="45.5703125" style="92" bestFit="1" customWidth="1"/>
    <col min="3871" max="3871" width="39.85546875" style="92" bestFit="1" customWidth="1"/>
    <col min="3872" max="3872" width="9.140625" style="92"/>
    <col min="3873" max="3873" width="45.5703125" style="92" bestFit="1" customWidth="1"/>
    <col min="3874" max="3874" width="9.140625" style="92"/>
    <col min="3875" max="3875" width="30.28515625" style="92" bestFit="1" customWidth="1"/>
    <col min="3876" max="3876" width="9.140625" style="92"/>
    <col min="3877" max="3877" width="40" style="92" bestFit="1" customWidth="1"/>
    <col min="3878" max="3879" width="0" style="92" hidden="1" customWidth="1"/>
    <col min="3880" max="3882" width="9.140625" style="92"/>
    <col min="3883" max="3884" width="0" style="92" hidden="1" customWidth="1"/>
    <col min="3885" max="4101" width="9.140625" style="92"/>
    <col min="4102" max="4102" width="37.42578125" style="92" bestFit="1" customWidth="1"/>
    <col min="4103" max="4104" width="0" style="92" hidden="1" customWidth="1"/>
    <col min="4105" max="4105" width="32.28515625" style="92" bestFit="1" customWidth="1"/>
    <col min="4106" max="4107" width="34.5703125" style="92" bestFit="1" customWidth="1"/>
    <col min="4108" max="4109" width="9.140625" style="92"/>
    <col min="4110" max="4110" width="22.28515625" style="92" bestFit="1" customWidth="1"/>
    <col min="4111" max="4111" width="9.140625" style="92"/>
    <col min="4112" max="4112" width="30.7109375" style="92" bestFit="1" customWidth="1"/>
    <col min="4113" max="4113" width="11" style="92" customWidth="1"/>
    <col min="4114" max="4114" width="9.140625" style="92"/>
    <col min="4115" max="4115" width="24.28515625" style="92" bestFit="1" customWidth="1"/>
    <col min="4116" max="4116" width="9.140625" style="92"/>
    <col min="4117" max="4118" width="11" style="92" customWidth="1"/>
    <col min="4119" max="4119" width="11.42578125" style="92" bestFit="1" customWidth="1"/>
    <col min="4120" max="4120" width="11.7109375" style="92" bestFit="1" customWidth="1"/>
    <col min="4121" max="4121" width="10.28515625" style="92" bestFit="1" customWidth="1"/>
    <col min="4122" max="4125" width="11" style="92" customWidth="1"/>
    <col min="4126" max="4126" width="45.5703125" style="92" bestFit="1" customWidth="1"/>
    <col min="4127" max="4127" width="39.85546875" style="92" bestFit="1" customWidth="1"/>
    <col min="4128" max="4128" width="9.140625" style="92"/>
    <col min="4129" max="4129" width="45.5703125" style="92" bestFit="1" customWidth="1"/>
    <col min="4130" max="4130" width="9.140625" style="92"/>
    <col min="4131" max="4131" width="30.28515625" style="92" bestFit="1" customWidth="1"/>
    <col min="4132" max="4132" width="9.140625" style="92"/>
    <col min="4133" max="4133" width="40" style="92" bestFit="1" customWidth="1"/>
    <col min="4134" max="4135" width="0" style="92" hidden="1" customWidth="1"/>
    <col min="4136" max="4138" width="9.140625" style="92"/>
    <col min="4139" max="4140" width="0" style="92" hidden="1" customWidth="1"/>
    <col min="4141" max="4357" width="9.140625" style="92"/>
    <col min="4358" max="4358" width="37.42578125" style="92" bestFit="1" customWidth="1"/>
    <col min="4359" max="4360" width="0" style="92" hidden="1" customWidth="1"/>
    <col min="4361" max="4361" width="32.28515625" style="92" bestFit="1" customWidth="1"/>
    <col min="4362" max="4363" width="34.5703125" style="92" bestFit="1" customWidth="1"/>
    <col min="4364" max="4365" width="9.140625" style="92"/>
    <col min="4366" max="4366" width="22.28515625" style="92" bestFit="1" customWidth="1"/>
    <col min="4367" max="4367" width="9.140625" style="92"/>
    <col min="4368" max="4368" width="30.7109375" style="92" bestFit="1" customWidth="1"/>
    <col min="4369" max="4369" width="11" style="92" customWidth="1"/>
    <col min="4370" max="4370" width="9.140625" style="92"/>
    <col min="4371" max="4371" width="24.28515625" style="92" bestFit="1" customWidth="1"/>
    <col min="4372" max="4372" width="9.140625" style="92"/>
    <col min="4373" max="4374" width="11" style="92" customWidth="1"/>
    <col min="4375" max="4375" width="11.42578125" style="92" bestFit="1" customWidth="1"/>
    <col min="4376" max="4376" width="11.7109375" style="92" bestFit="1" customWidth="1"/>
    <col min="4377" max="4377" width="10.28515625" style="92" bestFit="1" customWidth="1"/>
    <col min="4378" max="4381" width="11" style="92" customWidth="1"/>
    <col min="4382" max="4382" width="45.5703125" style="92" bestFit="1" customWidth="1"/>
    <col min="4383" max="4383" width="39.85546875" style="92" bestFit="1" customWidth="1"/>
    <col min="4384" max="4384" width="9.140625" style="92"/>
    <col min="4385" max="4385" width="45.5703125" style="92" bestFit="1" customWidth="1"/>
    <col min="4386" max="4386" width="9.140625" style="92"/>
    <col min="4387" max="4387" width="30.28515625" style="92" bestFit="1" customWidth="1"/>
    <col min="4388" max="4388" width="9.140625" style="92"/>
    <col min="4389" max="4389" width="40" style="92" bestFit="1" customWidth="1"/>
    <col min="4390" max="4391" width="0" style="92" hidden="1" customWidth="1"/>
    <col min="4392" max="4394" width="9.140625" style="92"/>
    <col min="4395" max="4396" width="0" style="92" hidden="1" customWidth="1"/>
    <col min="4397" max="4613" width="9.140625" style="92"/>
    <col min="4614" max="4614" width="37.42578125" style="92" bestFit="1" customWidth="1"/>
    <col min="4615" max="4616" width="0" style="92" hidden="1" customWidth="1"/>
    <col min="4617" max="4617" width="32.28515625" style="92" bestFit="1" customWidth="1"/>
    <col min="4618" max="4619" width="34.5703125" style="92" bestFit="1" customWidth="1"/>
    <col min="4620" max="4621" width="9.140625" style="92"/>
    <col min="4622" max="4622" width="22.28515625" style="92" bestFit="1" customWidth="1"/>
    <col min="4623" max="4623" width="9.140625" style="92"/>
    <col min="4624" max="4624" width="30.7109375" style="92" bestFit="1" customWidth="1"/>
    <col min="4625" max="4625" width="11" style="92" customWidth="1"/>
    <col min="4626" max="4626" width="9.140625" style="92"/>
    <col min="4627" max="4627" width="24.28515625" style="92" bestFit="1" customWidth="1"/>
    <col min="4628" max="4628" width="9.140625" style="92"/>
    <col min="4629" max="4630" width="11" style="92" customWidth="1"/>
    <col min="4631" max="4631" width="11.42578125" style="92" bestFit="1" customWidth="1"/>
    <col min="4632" max="4632" width="11.7109375" style="92" bestFit="1" customWidth="1"/>
    <col min="4633" max="4633" width="10.28515625" style="92" bestFit="1" customWidth="1"/>
    <col min="4634" max="4637" width="11" style="92" customWidth="1"/>
    <col min="4638" max="4638" width="45.5703125" style="92" bestFit="1" customWidth="1"/>
    <col min="4639" max="4639" width="39.85546875" style="92" bestFit="1" customWidth="1"/>
    <col min="4640" max="4640" width="9.140625" style="92"/>
    <col min="4641" max="4641" width="45.5703125" style="92" bestFit="1" customWidth="1"/>
    <col min="4642" max="4642" width="9.140625" style="92"/>
    <col min="4643" max="4643" width="30.28515625" style="92" bestFit="1" customWidth="1"/>
    <col min="4644" max="4644" width="9.140625" style="92"/>
    <col min="4645" max="4645" width="40" style="92" bestFit="1" customWidth="1"/>
    <col min="4646" max="4647" width="0" style="92" hidden="1" customWidth="1"/>
    <col min="4648" max="4650" width="9.140625" style="92"/>
    <col min="4651" max="4652" width="0" style="92" hidden="1" customWidth="1"/>
    <col min="4653" max="4869" width="9.140625" style="92"/>
    <col min="4870" max="4870" width="37.42578125" style="92" bestFit="1" customWidth="1"/>
    <col min="4871" max="4872" width="0" style="92" hidden="1" customWidth="1"/>
    <col min="4873" max="4873" width="32.28515625" style="92" bestFit="1" customWidth="1"/>
    <col min="4874" max="4875" width="34.5703125" style="92" bestFit="1" customWidth="1"/>
    <col min="4876" max="4877" width="9.140625" style="92"/>
    <col min="4878" max="4878" width="22.28515625" style="92" bestFit="1" customWidth="1"/>
    <col min="4879" max="4879" width="9.140625" style="92"/>
    <col min="4880" max="4880" width="30.7109375" style="92" bestFit="1" customWidth="1"/>
    <col min="4881" max="4881" width="11" style="92" customWidth="1"/>
    <col min="4882" max="4882" width="9.140625" style="92"/>
    <col min="4883" max="4883" width="24.28515625" style="92" bestFit="1" customWidth="1"/>
    <col min="4884" max="4884" width="9.140625" style="92"/>
    <col min="4885" max="4886" width="11" style="92" customWidth="1"/>
    <col min="4887" max="4887" width="11.42578125" style="92" bestFit="1" customWidth="1"/>
    <col min="4888" max="4888" width="11.7109375" style="92" bestFit="1" customWidth="1"/>
    <col min="4889" max="4889" width="10.28515625" style="92" bestFit="1" customWidth="1"/>
    <col min="4890" max="4893" width="11" style="92" customWidth="1"/>
    <col min="4894" max="4894" width="45.5703125" style="92" bestFit="1" customWidth="1"/>
    <col min="4895" max="4895" width="39.85546875" style="92" bestFit="1" customWidth="1"/>
    <col min="4896" max="4896" width="9.140625" style="92"/>
    <col min="4897" max="4897" width="45.5703125" style="92" bestFit="1" customWidth="1"/>
    <col min="4898" max="4898" width="9.140625" style="92"/>
    <col min="4899" max="4899" width="30.28515625" style="92" bestFit="1" customWidth="1"/>
    <col min="4900" max="4900" width="9.140625" style="92"/>
    <col min="4901" max="4901" width="40" style="92" bestFit="1" customWidth="1"/>
    <col min="4902" max="4903" width="0" style="92" hidden="1" customWidth="1"/>
    <col min="4904" max="4906" width="9.140625" style="92"/>
    <col min="4907" max="4908" width="0" style="92" hidden="1" customWidth="1"/>
    <col min="4909" max="5125" width="9.140625" style="92"/>
    <col min="5126" max="5126" width="37.42578125" style="92" bestFit="1" customWidth="1"/>
    <col min="5127" max="5128" width="0" style="92" hidden="1" customWidth="1"/>
    <col min="5129" max="5129" width="32.28515625" style="92" bestFit="1" customWidth="1"/>
    <col min="5130" max="5131" width="34.5703125" style="92" bestFit="1" customWidth="1"/>
    <col min="5132" max="5133" width="9.140625" style="92"/>
    <col min="5134" max="5134" width="22.28515625" style="92" bestFit="1" customWidth="1"/>
    <col min="5135" max="5135" width="9.140625" style="92"/>
    <col min="5136" max="5136" width="30.7109375" style="92" bestFit="1" customWidth="1"/>
    <col min="5137" max="5137" width="11" style="92" customWidth="1"/>
    <col min="5138" max="5138" width="9.140625" style="92"/>
    <col min="5139" max="5139" width="24.28515625" style="92" bestFit="1" customWidth="1"/>
    <col min="5140" max="5140" width="9.140625" style="92"/>
    <col min="5141" max="5142" width="11" style="92" customWidth="1"/>
    <col min="5143" max="5143" width="11.42578125" style="92" bestFit="1" customWidth="1"/>
    <col min="5144" max="5144" width="11.7109375" style="92" bestFit="1" customWidth="1"/>
    <col min="5145" max="5145" width="10.28515625" style="92" bestFit="1" customWidth="1"/>
    <col min="5146" max="5149" width="11" style="92" customWidth="1"/>
    <col min="5150" max="5150" width="45.5703125" style="92" bestFit="1" customWidth="1"/>
    <col min="5151" max="5151" width="39.85546875" style="92" bestFit="1" customWidth="1"/>
    <col min="5152" max="5152" width="9.140625" style="92"/>
    <col min="5153" max="5153" width="45.5703125" style="92" bestFit="1" customWidth="1"/>
    <col min="5154" max="5154" width="9.140625" style="92"/>
    <col min="5155" max="5155" width="30.28515625" style="92" bestFit="1" customWidth="1"/>
    <col min="5156" max="5156" width="9.140625" style="92"/>
    <col min="5157" max="5157" width="40" style="92" bestFit="1" customWidth="1"/>
    <col min="5158" max="5159" width="0" style="92" hidden="1" customWidth="1"/>
    <col min="5160" max="5162" width="9.140625" style="92"/>
    <col min="5163" max="5164" width="0" style="92" hidden="1" customWidth="1"/>
    <col min="5165" max="5381" width="9.140625" style="92"/>
    <col min="5382" max="5382" width="37.42578125" style="92" bestFit="1" customWidth="1"/>
    <col min="5383" max="5384" width="0" style="92" hidden="1" customWidth="1"/>
    <col min="5385" max="5385" width="32.28515625" style="92" bestFit="1" customWidth="1"/>
    <col min="5386" max="5387" width="34.5703125" style="92" bestFit="1" customWidth="1"/>
    <col min="5388" max="5389" width="9.140625" style="92"/>
    <col min="5390" max="5390" width="22.28515625" style="92" bestFit="1" customWidth="1"/>
    <col min="5391" max="5391" width="9.140625" style="92"/>
    <col min="5392" max="5392" width="30.7109375" style="92" bestFit="1" customWidth="1"/>
    <col min="5393" max="5393" width="11" style="92" customWidth="1"/>
    <col min="5394" max="5394" width="9.140625" style="92"/>
    <col min="5395" max="5395" width="24.28515625" style="92" bestFit="1" customWidth="1"/>
    <col min="5396" max="5396" width="9.140625" style="92"/>
    <col min="5397" max="5398" width="11" style="92" customWidth="1"/>
    <col min="5399" max="5399" width="11.42578125" style="92" bestFit="1" customWidth="1"/>
    <col min="5400" max="5400" width="11.7109375" style="92" bestFit="1" customWidth="1"/>
    <col min="5401" max="5401" width="10.28515625" style="92" bestFit="1" customWidth="1"/>
    <col min="5402" max="5405" width="11" style="92" customWidth="1"/>
    <col min="5406" max="5406" width="45.5703125" style="92" bestFit="1" customWidth="1"/>
    <col min="5407" max="5407" width="39.85546875" style="92" bestFit="1" customWidth="1"/>
    <col min="5408" max="5408" width="9.140625" style="92"/>
    <col min="5409" max="5409" width="45.5703125" style="92" bestFit="1" customWidth="1"/>
    <col min="5410" max="5410" width="9.140625" style="92"/>
    <col min="5411" max="5411" width="30.28515625" style="92" bestFit="1" customWidth="1"/>
    <col min="5412" max="5412" width="9.140625" style="92"/>
    <col min="5413" max="5413" width="40" style="92" bestFit="1" customWidth="1"/>
    <col min="5414" max="5415" width="0" style="92" hidden="1" customWidth="1"/>
    <col min="5416" max="5418" width="9.140625" style="92"/>
    <col min="5419" max="5420" width="0" style="92" hidden="1" customWidth="1"/>
    <col min="5421" max="5637" width="9.140625" style="92"/>
    <col min="5638" max="5638" width="37.42578125" style="92" bestFit="1" customWidth="1"/>
    <col min="5639" max="5640" width="0" style="92" hidden="1" customWidth="1"/>
    <col min="5641" max="5641" width="32.28515625" style="92" bestFit="1" customWidth="1"/>
    <col min="5642" max="5643" width="34.5703125" style="92" bestFit="1" customWidth="1"/>
    <col min="5644" max="5645" width="9.140625" style="92"/>
    <col min="5646" max="5646" width="22.28515625" style="92" bestFit="1" customWidth="1"/>
    <col min="5647" max="5647" width="9.140625" style="92"/>
    <col min="5648" max="5648" width="30.7109375" style="92" bestFit="1" customWidth="1"/>
    <col min="5649" max="5649" width="11" style="92" customWidth="1"/>
    <col min="5650" max="5650" width="9.140625" style="92"/>
    <col min="5651" max="5651" width="24.28515625" style="92" bestFit="1" customWidth="1"/>
    <col min="5652" max="5652" width="9.140625" style="92"/>
    <col min="5653" max="5654" width="11" style="92" customWidth="1"/>
    <col min="5655" max="5655" width="11.42578125" style="92" bestFit="1" customWidth="1"/>
    <col min="5656" max="5656" width="11.7109375" style="92" bestFit="1" customWidth="1"/>
    <col min="5657" max="5657" width="10.28515625" style="92" bestFit="1" customWidth="1"/>
    <col min="5658" max="5661" width="11" style="92" customWidth="1"/>
    <col min="5662" max="5662" width="45.5703125" style="92" bestFit="1" customWidth="1"/>
    <col min="5663" max="5663" width="39.85546875" style="92" bestFit="1" customWidth="1"/>
    <col min="5664" max="5664" width="9.140625" style="92"/>
    <col min="5665" max="5665" width="45.5703125" style="92" bestFit="1" customWidth="1"/>
    <col min="5666" max="5666" width="9.140625" style="92"/>
    <col min="5667" max="5667" width="30.28515625" style="92" bestFit="1" customWidth="1"/>
    <col min="5668" max="5668" width="9.140625" style="92"/>
    <col min="5669" max="5669" width="40" style="92" bestFit="1" customWidth="1"/>
    <col min="5670" max="5671" width="0" style="92" hidden="1" customWidth="1"/>
    <col min="5672" max="5674" width="9.140625" style="92"/>
    <col min="5675" max="5676" width="0" style="92" hidden="1" customWidth="1"/>
    <col min="5677" max="5893" width="9.140625" style="92"/>
    <col min="5894" max="5894" width="37.42578125" style="92" bestFit="1" customWidth="1"/>
    <col min="5895" max="5896" width="0" style="92" hidden="1" customWidth="1"/>
    <col min="5897" max="5897" width="32.28515625" style="92" bestFit="1" customWidth="1"/>
    <col min="5898" max="5899" width="34.5703125" style="92" bestFit="1" customWidth="1"/>
    <col min="5900" max="5901" width="9.140625" style="92"/>
    <col min="5902" max="5902" width="22.28515625" style="92" bestFit="1" customWidth="1"/>
    <col min="5903" max="5903" width="9.140625" style="92"/>
    <col min="5904" max="5904" width="30.7109375" style="92" bestFit="1" customWidth="1"/>
    <col min="5905" max="5905" width="11" style="92" customWidth="1"/>
    <col min="5906" max="5906" width="9.140625" style="92"/>
    <col min="5907" max="5907" width="24.28515625" style="92" bestFit="1" customWidth="1"/>
    <col min="5908" max="5908" width="9.140625" style="92"/>
    <col min="5909" max="5910" width="11" style="92" customWidth="1"/>
    <col min="5911" max="5911" width="11.42578125" style="92" bestFit="1" customWidth="1"/>
    <col min="5912" max="5912" width="11.7109375" style="92" bestFit="1" customWidth="1"/>
    <col min="5913" max="5913" width="10.28515625" style="92" bestFit="1" customWidth="1"/>
    <col min="5914" max="5917" width="11" style="92" customWidth="1"/>
    <col min="5918" max="5918" width="45.5703125" style="92" bestFit="1" customWidth="1"/>
    <col min="5919" max="5919" width="39.85546875" style="92" bestFit="1" customWidth="1"/>
    <col min="5920" max="5920" width="9.140625" style="92"/>
    <col min="5921" max="5921" width="45.5703125" style="92" bestFit="1" customWidth="1"/>
    <col min="5922" max="5922" width="9.140625" style="92"/>
    <col min="5923" max="5923" width="30.28515625" style="92" bestFit="1" customWidth="1"/>
    <col min="5924" max="5924" width="9.140625" style="92"/>
    <col min="5925" max="5925" width="40" style="92" bestFit="1" customWidth="1"/>
    <col min="5926" max="5927" width="0" style="92" hidden="1" customWidth="1"/>
    <col min="5928" max="5930" width="9.140625" style="92"/>
    <col min="5931" max="5932" width="0" style="92" hidden="1" customWidth="1"/>
    <col min="5933" max="6149" width="9.140625" style="92"/>
    <col min="6150" max="6150" width="37.42578125" style="92" bestFit="1" customWidth="1"/>
    <col min="6151" max="6152" width="0" style="92" hidden="1" customWidth="1"/>
    <col min="6153" max="6153" width="32.28515625" style="92" bestFit="1" customWidth="1"/>
    <col min="6154" max="6155" width="34.5703125" style="92" bestFit="1" customWidth="1"/>
    <col min="6156" max="6157" width="9.140625" style="92"/>
    <col min="6158" max="6158" width="22.28515625" style="92" bestFit="1" customWidth="1"/>
    <col min="6159" max="6159" width="9.140625" style="92"/>
    <col min="6160" max="6160" width="30.7109375" style="92" bestFit="1" customWidth="1"/>
    <col min="6161" max="6161" width="11" style="92" customWidth="1"/>
    <col min="6162" max="6162" width="9.140625" style="92"/>
    <col min="6163" max="6163" width="24.28515625" style="92" bestFit="1" customWidth="1"/>
    <col min="6164" max="6164" width="9.140625" style="92"/>
    <col min="6165" max="6166" width="11" style="92" customWidth="1"/>
    <col min="6167" max="6167" width="11.42578125" style="92" bestFit="1" customWidth="1"/>
    <col min="6168" max="6168" width="11.7109375" style="92" bestFit="1" customWidth="1"/>
    <col min="6169" max="6169" width="10.28515625" style="92" bestFit="1" customWidth="1"/>
    <col min="6170" max="6173" width="11" style="92" customWidth="1"/>
    <col min="6174" max="6174" width="45.5703125" style="92" bestFit="1" customWidth="1"/>
    <col min="6175" max="6175" width="39.85546875" style="92" bestFit="1" customWidth="1"/>
    <col min="6176" max="6176" width="9.140625" style="92"/>
    <col min="6177" max="6177" width="45.5703125" style="92" bestFit="1" customWidth="1"/>
    <col min="6178" max="6178" width="9.140625" style="92"/>
    <col min="6179" max="6179" width="30.28515625" style="92" bestFit="1" customWidth="1"/>
    <col min="6180" max="6180" width="9.140625" style="92"/>
    <col min="6181" max="6181" width="40" style="92" bestFit="1" customWidth="1"/>
    <col min="6182" max="6183" width="0" style="92" hidden="1" customWidth="1"/>
    <col min="6184" max="6186" width="9.140625" style="92"/>
    <col min="6187" max="6188" width="0" style="92" hidden="1" customWidth="1"/>
    <col min="6189" max="6405" width="9.140625" style="92"/>
    <col min="6406" max="6406" width="37.42578125" style="92" bestFit="1" customWidth="1"/>
    <col min="6407" max="6408" width="0" style="92" hidden="1" customWidth="1"/>
    <col min="6409" max="6409" width="32.28515625" style="92" bestFit="1" customWidth="1"/>
    <col min="6410" max="6411" width="34.5703125" style="92" bestFit="1" customWidth="1"/>
    <col min="6412" max="6413" width="9.140625" style="92"/>
    <col min="6414" max="6414" width="22.28515625" style="92" bestFit="1" customWidth="1"/>
    <col min="6415" max="6415" width="9.140625" style="92"/>
    <col min="6416" max="6416" width="30.7109375" style="92" bestFit="1" customWidth="1"/>
    <col min="6417" max="6417" width="11" style="92" customWidth="1"/>
    <col min="6418" max="6418" width="9.140625" style="92"/>
    <col min="6419" max="6419" width="24.28515625" style="92" bestFit="1" customWidth="1"/>
    <col min="6420" max="6420" width="9.140625" style="92"/>
    <col min="6421" max="6422" width="11" style="92" customWidth="1"/>
    <col min="6423" max="6423" width="11.42578125" style="92" bestFit="1" customWidth="1"/>
    <col min="6424" max="6424" width="11.7109375" style="92" bestFit="1" customWidth="1"/>
    <col min="6425" max="6425" width="10.28515625" style="92" bestFit="1" customWidth="1"/>
    <col min="6426" max="6429" width="11" style="92" customWidth="1"/>
    <col min="6430" max="6430" width="45.5703125" style="92" bestFit="1" customWidth="1"/>
    <col min="6431" max="6431" width="39.85546875" style="92" bestFit="1" customWidth="1"/>
    <col min="6432" max="6432" width="9.140625" style="92"/>
    <col min="6433" max="6433" width="45.5703125" style="92" bestFit="1" customWidth="1"/>
    <col min="6434" max="6434" width="9.140625" style="92"/>
    <col min="6435" max="6435" width="30.28515625" style="92" bestFit="1" customWidth="1"/>
    <col min="6436" max="6436" width="9.140625" style="92"/>
    <col min="6437" max="6437" width="40" style="92" bestFit="1" customWidth="1"/>
    <col min="6438" max="6439" width="0" style="92" hidden="1" customWidth="1"/>
    <col min="6440" max="6442" width="9.140625" style="92"/>
    <col min="6443" max="6444" width="0" style="92" hidden="1" customWidth="1"/>
    <col min="6445" max="6661" width="9.140625" style="92"/>
    <col min="6662" max="6662" width="37.42578125" style="92" bestFit="1" customWidth="1"/>
    <col min="6663" max="6664" width="0" style="92" hidden="1" customWidth="1"/>
    <col min="6665" max="6665" width="32.28515625" style="92" bestFit="1" customWidth="1"/>
    <col min="6666" max="6667" width="34.5703125" style="92" bestFit="1" customWidth="1"/>
    <col min="6668" max="6669" width="9.140625" style="92"/>
    <col min="6670" max="6670" width="22.28515625" style="92" bestFit="1" customWidth="1"/>
    <col min="6671" max="6671" width="9.140625" style="92"/>
    <col min="6672" max="6672" width="30.7109375" style="92" bestFit="1" customWidth="1"/>
    <col min="6673" max="6673" width="11" style="92" customWidth="1"/>
    <col min="6674" max="6674" width="9.140625" style="92"/>
    <col min="6675" max="6675" width="24.28515625" style="92" bestFit="1" customWidth="1"/>
    <col min="6676" max="6676" width="9.140625" style="92"/>
    <col min="6677" max="6678" width="11" style="92" customWidth="1"/>
    <col min="6679" max="6679" width="11.42578125" style="92" bestFit="1" customWidth="1"/>
    <col min="6680" max="6680" width="11.7109375" style="92" bestFit="1" customWidth="1"/>
    <col min="6681" max="6681" width="10.28515625" style="92" bestFit="1" customWidth="1"/>
    <col min="6682" max="6685" width="11" style="92" customWidth="1"/>
    <col min="6686" max="6686" width="45.5703125" style="92" bestFit="1" customWidth="1"/>
    <col min="6687" max="6687" width="39.85546875" style="92" bestFit="1" customWidth="1"/>
    <col min="6688" max="6688" width="9.140625" style="92"/>
    <col min="6689" max="6689" width="45.5703125" style="92" bestFit="1" customWidth="1"/>
    <col min="6690" max="6690" width="9.140625" style="92"/>
    <col min="6691" max="6691" width="30.28515625" style="92" bestFit="1" customWidth="1"/>
    <col min="6692" max="6692" width="9.140625" style="92"/>
    <col min="6693" max="6693" width="40" style="92" bestFit="1" customWidth="1"/>
    <col min="6694" max="6695" width="0" style="92" hidden="1" customWidth="1"/>
    <col min="6696" max="6698" width="9.140625" style="92"/>
    <col min="6699" max="6700" width="0" style="92" hidden="1" customWidth="1"/>
    <col min="6701" max="6917" width="9.140625" style="92"/>
    <col min="6918" max="6918" width="37.42578125" style="92" bestFit="1" customWidth="1"/>
    <col min="6919" max="6920" width="0" style="92" hidden="1" customWidth="1"/>
    <col min="6921" max="6921" width="32.28515625" style="92" bestFit="1" customWidth="1"/>
    <col min="6922" max="6923" width="34.5703125" style="92" bestFit="1" customWidth="1"/>
    <col min="6924" max="6925" width="9.140625" style="92"/>
    <col min="6926" max="6926" width="22.28515625" style="92" bestFit="1" customWidth="1"/>
    <col min="6927" max="6927" width="9.140625" style="92"/>
    <col min="6928" max="6928" width="30.7109375" style="92" bestFit="1" customWidth="1"/>
    <col min="6929" max="6929" width="11" style="92" customWidth="1"/>
    <col min="6930" max="6930" width="9.140625" style="92"/>
    <col min="6931" max="6931" width="24.28515625" style="92" bestFit="1" customWidth="1"/>
    <col min="6932" max="6932" width="9.140625" style="92"/>
    <col min="6933" max="6934" width="11" style="92" customWidth="1"/>
    <col min="6935" max="6935" width="11.42578125" style="92" bestFit="1" customWidth="1"/>
    <col min="6936" max="6936" width="11.7109375" style="92" bestFit="1" customWidth="1"/>
    <col min="6937" max="6937" width="10.28515625" style="92" bestFit="1" customWidth="1"/>
    <col min="6938" max="6941" width="11" style="92" customWidth="1"/>
    <col min="6942" max="6942" width="45.5703125" style="92" bestFit="1" customWidth="1"/>
    <col min="6943" max="6943" width="39.85546875" style="92" bestFit="1" customWidth="1"/>
    <col min="6944" max="6944" width="9.140625" style="92"/>
    <col min="6945" max="6945" width="45.5703125" style="92" bestFit="1" customWidth="1"/>
    <col min="6946" max="6946" width="9.140625" style="92"/>
    <col min="6947" max="6947" width="30.28515625" style="92" bestFit="1" customWidth="1"/>
    <col min="6948" max="6948" width="9.140625" style="92"/>
    <col min="6949" max="6949" width="40" style="92" bestFit="1" customWidth="1"/>
    <col min="6950" max="6951" width="0" style="92" hidden="1" customWidth="1"/>
    <col min="6952" max="6954" width="9.140625" style="92"/>
    <col min="6955" max="6956" width="0" style="92" hidden="1" customWidth="1"/>
    <col min="6957" max="7173" width="9.140625" style="92"/>
    <col min="7174" max="7174" width="37.42578125" style="92" bestFit="1" customWidth="1"/>
    <col min="7175" max="7176" width="0" style="92" hidden="1" customWidth="1"/>
    <col min="7177" max="7177" width="32.28515625" style="92" bestFit="1" customWidth="1"/>
    <col min="7178" max="7179" width="34.5703125" style="92" bestFit="1" customWidth="1"/>
    <col min="7180" max="7181" width="9.140625" style="92"/>
    <col min="7182" max="7182" width="22.28515625" style="92" bestFit="1" customWidth="1"/>
    <col min="7183" max="7183" width="9.140625" style="92"/>
    <col min="7184" max="7184" width="30.7109375" style="92" bestFit="1" customWidth="1"/>
    <col min="7185" max="7185" width="11" style="92" customWidth="1"/>
    <col min="7186" max="7186" width="9.140625" style="92"/>
    <col min="7187" max="7187" width="24.28515625" style="92" bestFit="1" customWidth="1"/>
    <col min="7188" max="7188" width="9.140625" style="92"/>
    <col min="7189" max="7190" width="11" style="92" customWidth="1"/>
    <col min="7191" max="7191" width="11.42578125" style="92" bestFit="1" customWidth="1"/>
    <col min="7192" max="7192" width="11.7109375" style="92" bestFit="1" customWidth="1"/>
    <col min="7193" max="7193" width="10.28515625" style="92" bestFit="1" customWidth="1"/>
    <col min="7194" max="7197" width="11" style="92" customWidth="1"/>
    <col min="7198" max="7198" width="45.5703125" style="92" bestFit="1" customWidth="1"/>
    <col min="7199" max="7199" width="39.85546875" style="92" bestFit="1" customWidth="1"/>
    <col min="7200" max="7200" width="9.140625" style="92"/>
    <col min="7201" max="7201" width="45.5703125" style="92" bestFit="1" customWidth="1"/>
    <col min="7202" max="7202" width="9.140625" style="92"/>
    <col min="7203" max="7203" width="30.28515625" style="92" bestFit="1" customWidth="1"/>
    <col min="7204" max="7204" width="9.140625" style="92"/>
    <col min="7205" max="7205" width="40" style="92" bestFit="1" customWidth="1"/>
    <col min="7206" max="7207" width="0" style="92" hidden="1" customWidth="1"/>
    <col min="7208" max="7210" width="9.140625" style="92"/>
    <col min="7211" max="7212" width="0" style="92" hidden="1" customWidth="1"/>
    <col min="7213" max="7429" width="9.140625" style="92"/>
    <col min="7430" max="7430" width="37.42578125" style="92" bestFit="1" customWidth="1"/>
    <col min="7431" max="7432" width="0" style="92" hidden="1" customWidth="1"/>
    <col min="7433" max="7433" width="32.28515625" style="92" bestFit="1" customWidth="1"/>
    <col min="7434" max="7435" width="34.5703125" style="92" bestFit="1" customWidth="1"/>
    <col min="7436" max="7437" width="9.140625" style="92"/>
    <col min="7438" max="7438" width="22.28515625" style="92" bestFit="1" customWidth="1"/>
    <col min="7439" max="7439" width="9.140625" style="92"/>
    <col min="7440" max="7440" width="30.7109375" style="92" bestFit="1" customWidth="1"/>
    <col min="7441" max="7441" width="11" style="92" customWidth="1"/>
    <col min="7442" max="7442" width="9.140625" style="92"/>
    <col min="7443" max="7443" width="24.28515625" style="92" bestFit="1" customWidth="1"/>
    <col min="7444" max="7444" width="9.140625" style="92"/>
    <col min="7445" max="7446" width="11" style="92" customWidth="1"/>
    <col min="7447" max="7447" width="11.42578125" style="92" bestFit="1" customWidth="1"/>
    <col min="7448" max="7448" width="11.7109375" style="92" bestFit="1" customWidth="1"/>
    <col min="7449" max="7449" width="10.28515625" style="92" bestFit="1" customWidth="1"/>
    <col min="7450" max="7453" width="11" style="92" customWidth="1"/>
    <col min="7454" max="7454" width="45.5703125" style="92" bestFit="1" customWidth="1"/>
    <col min="7455" max="7455" width="39.85546875" style="92" bestFit="1" customWidth="1"/>
    <col min="7456" max="7456" width="9.140625" style="92"/>
    <col min="7457" max="7457" width="45.5703125" style="92" bestFit="1" customWidth="1"/>
    <col min="7458" max="7458" width="9.140625" style="92"/>
    <col min="7459" max="7459" width="30.28515625" style="92" bestFit="1" customWidth="1"/>
    <col min="7460" max="7460" width="9.140625" style="92"/>
    <col min="7461" max="7461" width="40" style="92" bestFit="1" customWidth="1"/>
    <col min="7462" max="7463" width="0" style="92" hidden="1" customWidth="1"/>
    <col min="7464" max="7466" width="9.140625" style="92"/>
    <col min="7467" max="7468" width="0" style="92" hidden="1" customWidth="1"/>
    <col min="7469" max="7685" width="9.140625" style="92"/>
    <col min="7686" max="7686" width="37.42578125" style="92" bestFit="1" customWidth="1"/>
    <col min="7687" max="7688" width="0" style="92" hidden="1" customWidth="1"/>
    <col min="7689" max="7689" width="32.28515625" style="92" bestFit="1" customWidth="1"/>
    <col min="7690" max="7691" width="34.5703125" style="92" bestFit="1" customWidth="1"/>
    <col min="7692" max="7693" width="9.140625" style="92"/>
    <col min="7694" max="7694" width="22.28515625" style="92" bestFit="1" customWidth="1"/>
    <col min="7695" max="7695" width="9.140625" style="92"/>
    <col min="7696" max="7696" width="30.7109375" style="92" bestFit="1" customWidth="1"/>
    <col min="7697" max="7697" width="11" style="92" customWidth="1"/>
    <col min="7698" max="7698" width="9.140625" style="92"/>
    <col min="7699" max="7699" width="24.28515625" style="92" bestFit="1" customWidth="1"/>
    <col min="7700" max="7700" width="9.140625" style="92"/>
    <col min="7701" max="7702" width="11" style="92" customWidth="1"/>
    <col min="7703" max="7703" width="11.42578125" style="92" bestFit="1" customWidth="1"/>
    <col min="7704" max="7704" width="11.7109375" style="92" bestFit="1" customWidth="1"/>
    <col min="7705" max="7705" width="10.28515625" style="92" bestFit="1" customWidth="1"/>
    <col min="7706" max="7709" width="11" style="92" customWidth="1"/>
    <col min="7710" max="7710" width="45.5703125" style="92" bestFit="1" customWidth="1"/>
    <col min="7711" max="7711" width="39.85546875" style="92" bestFit="1" customWidth="1"/>
    <col min="7712" max="7712" width="9.140625" style="92"/>
    <col min="7713" max="7713" width="45.5703125" style="92" bestFit="1" customWidth="1"/>
    <col min="7714" max="7714" width="9.140625" style="92"/>
    <col min="7715" max="7715" width="30.28515625" style="92" bestFit="1" customWidth="1"/>
    <col min="7716" max="7716" width="9.140625" style="92"/>
    <col min="7717" max="7717" width="40" style="92" bestFit="1" customWidth="1"/>
    <col min="7718" max="7719" width="0" style="92" hidden="1" customWidth="1"/>
    <col min="7720" max="7722" width="9.140625" style="92"/>
    <col min="7723" max="7724" width="0" style="92" hidden="1" customWidth="1"/>
    <col min="7725" max="7941" width="9.140625" style="92"/>
    <col min="7942" max="7942" width="37.42578125" style="92" bestFit="1" customWidth="1"/>
    <col min="7943" max="7944" width="0" style="92" hidden="1" customWidth="1"/>
    <col min="7945" max="7945" width="32.28515625" style="92" bestFit="1" customWidth="1"/>
    <col min="7946" max="7947" width="34.5703125" style="92" bestFit="1" customWidth="1"/>
    <col min="7948" max="7949" width="9.140625" style="92"/>
    <col min="7950" max="7950" width="22.28515625" style="92" bestFit="1" customWidth="1"/>
    <col min="7951" max="7951" width="9.140625" style="92"/>
    <col min="7952" max="7952" width="30.7109375" style="92" bestFit="1" customWidth="1"/>
    <col min="7953" max="7953" width="11" style="92" customWidth="1"/>
    <col min="7954" max="7954" width="9.140625" style="92"/>
    <col min="7955" max="7955" width="24.28515625" style="92" bestFit="1" customWidth="1"/>
    <col min="7956" max="7956" width="9.140625" style="92"/>
    <col min="7957" max="7958" width="11" style="92" customWidth="1"/>
    <col min="7959" max="7959" width="11.42578125" style="92" bestFit="1" customWidth="1"/>
    <col min="7960" max="7960" width="11.7109375" style="92" bestFit="1" customWidth="1"/>
    <col min="7961" max="7961" width="10.28515625" style="92" bestFit="1" customWidth="1"/>
    <col min="7962" max="7965" width="11" style="92" customWidth="1"/>
    <col min="7966" max="7966" width="45.5703125" style="92" bestFit="1" customWidth="1"/>
    <col min="7967" max="7967" width="39.85546875" style="92" bestFit="1" customWidth="1"/>
    <col min="7968" max="7968" width="9.140625" style="92"/>
    <col min="7969" max="7969" width="45.5703125" style="92" bestFit="1" customWidth="1"/>
    <col min="7970" max="7970" width="9.140625" style="92"/>
    <col min="7971" max="7971" width="30.28515625" style="92" bestFit="1" customWidth="1"/>
    <col min="7972" max="7972" width="9.140625" style="92"/>
    <col min="7973" max="7973" width="40" style="92" bestFit="1" customWidth="1"/>
    <col min="7974" max="7975" width="0" style="92" hidden="1" customWidth="1"/>
    <col min="7976" max="7978" width="9.140625" style="92"/>
    <col min="7979" max="7980" width="0" style="92" hidden="1" customWidth="1"/>
    <col min="7981" max="8197" width="9.140625" style="92"/>
    <col min="8198" max="8198" width="37.42578125" style="92" bestFit="1" customWidth="1"/>
    <col min="8199" max="8200" width="0" style="92" hidden="1" customWidth="1"/>
    <col min="8201" max="8201" width="32.28515625" style="92" bestFit="1" customWidth="1"/>
    <col min="8202" max="8203" width="34.5703125" style="92" bestFit="1" customWidth="1"/>
    <col min="8204" max="8205" width="9.140625" style="92"/>
    <col min="8206" max="8206" width="22.28515625" style="92" bestFit="1" customWidth="1"/>
    <col min="8207" max="8207" width="9.140625" style="92"/>
    <col min="8208" max="8208" width="30.7109375" style="92" bestFit="1" customWidth="1"/>
    <col min="8209" max="8209" width="11" style="92" customWidth="1"/>
    <col min="8210" max="8210" width="9.140625" style="92"/>
    <col min="8211" max="8211" width="24.28515625" style="92" bestFit="1" customWidth="1"/>
    <col min="8212" max="8212" width="9.140625" style="92"/>
    <col min="8213" max="8214" width="11" style="92" customWidth="1"/>
    <col min="8215" max="8215" width="11.42578125" style="92" bestFit="1" customWidth="1"/>
    <col min="8216" max="8216" width="11.7109375" style="92" bestFit="1" customWidth="1"/>
    <col min="8217" max="8217" width="10.28515625" style="92" bestFit="1" customWidth="1"/>
    <col min="8218" max="8221" width="11" style="92" customWidth="1"/>
    <col min="8222" max="8222" width="45.5703125" style="92" bestFit="1" customWidth="1"/>
    <col min="8223" max="8223" width="39.85546875" style="92" bestFit="1" customWidth="1"/>
    <col min="8224" max="8224" width="9.140625" style="92"/>
    <col min="8225" max="8225" width="45.5703125" style="92" bestFit="1" customWidth="1"/>
    <col min="8226" max="8226" width="9.140625" style="92"/>
    <col min="8227" max="8227" width="30.28515625" style="92" bestFit="1" customWidth="1"/>
    <col min="8228" max="8228" width="9.140625" style="92"/>
    <col min="8229" max="8229" width="40" style="92" bestFit="1" customWidth="1"/>
    <col min="8230" max="8231" width="0" style="92" hidden="1" customWidth="1"/>
    <col min="8232" max="8234" width="9.140625" style="92"/>
    <col min="8235" max="8236" width="0" style="92" hidden="1" customWidth="1"/>
    <col min="8237" max="8453" width="9.140625" style="92"/>
    <col min="8454" max="8454" width="37.42578125" style="92" bestFit="1" customWidth="1"/>
    <col min="8455" max="8456" width="0" style="92" hidden="1" customWidth="1"/>
    <col min="8457" max="8457" width="32.28515625" style="92" bestFit="1" customWidth="1"/>
    <col min="8458" max="8459" width="34.5703125" style="92" bestFit="1" customWidth="1"/>
    <col min="8460" max="8461" width="9.140625" style="92"/>
    <col min="8462" max="8462" width="22.28515625" style="92" bestFit="1" customWidth="1"/>
    <col min="8463" max="8463" width="9.140625" style="92"/>
    <col min="8464" max="8464" width="30.7109375" style="92" bestFit="1" customWidth="1"/>
    <col min="8465" max="8465" width="11" style="92" customWidth="1"/>
    <col min="8466" max="8466" width="9.140625" style="92"/>
    <col min="8467" max="8467" width="24.28515625" style="92" bestFit="1" customWidth="1"/>
    <col min="8468" max="8468" width="9.140625" style="92"/>
    <col min="8469" max="8470" width="11" style="92" customWidth="1"/>
    <col min="8471" max="8471" width="11.42578125" style="92" bestFit="1" customWidth="1"/>
    <col min="8472" max="8472" width="11.7109375" style="92" bestFit="1" customWidth="1"/>
    <col min="8473" max="8473" width="10.28515625" style="92" bestFit="1" customWidth="1"/>
    <col min="8474" max="8477" width="11" style="92" customWidth="1"/>
    <col min="8478" max="8478" width="45.5703125" style="92" bestFit="1" customWidth="1"/>
    <col min="8479" max="8479" width="39.85546875" style="92" bestFit="1" customWidth="1"/>
    <col min="8480" max="8480" width="9.140625" style="92"/>
    <col min="8481" max="8481" width="45.5703125" style="92" bestFit="1" customWidth="1"/>
    <col min="8482" max="8482" width="9.140625" style="92"/>
    <col min="8483" max="8483" width="30.28515625" style="92" bestFit="1" customWidth="1"/>
    <col min="8484" max="8484" width="9.140625" style="92"/>
    <col min="8485" max="8485" width="40" style="92" bestFit="1" customWidth="1"/>
    <col min="8486" max="8487" width="0" style="92" hidden="1" customWidth="1"/>
    <col min="8488" max="8490" width="9.140625" style="92"/>
    <col min="8491" max="8492" width="0" style="92" hidden="1" customWidth="1"/>
    <col min="8493" max="8709" width="9.140625" style="92"/>
    <col min="8710" max="8710" width="37.42578125" style="92" bestFit="1" customWidth="1"/>
    <col min="8711" max="8712" width="0" style="92" hidden="1" customWidth="1"/>
    <col min="8713" max="8713" width="32.28515625" style="92" bestFit="1" customWidth="1"/>
    <col min="8714" max="8715" width="34.5703125" style="92" bestFit="1" customWidth="1"/>
    <col min="8716" max="8717" width="9.140625" style="92"/>
    <col min="8718" max="8718" width="22.28515625" style="92" bestFit="1" customWidth="1"/>
    <col min="8719" max="8719" width="9.140625" style="92"/>
    <col min="8720" max="8720" width="30.7109375" style="92" bestFit="1" customWidth="1"/>
    <col min="8721" max="8721" width="11" style="92" customWidth="1"/>
    <col min="8722" max="8722" width="9.140625" style="92"/>
    <col min="8723" max="8723" width="24.28515625" style="92" bestFit="1" customWidth="1"/>
    <col min="8724" max="8724" width="9.140625" style="92"/>
    <col min="8725" max="8726" width="11" style="92" customWidth="1"/>
    <col min="8727" max="8727" width="11.42578125" style="92" bestFit="1" customWidth="1"/>
    <col min="8728" max="8728" width="11.7109375" style="92" bestFit="1" customWidth="1"/>
    <col min="8729" max="8729" width="10.28515625" style="92" bestFit="1" customWidth="1"/>
    <col min="8730" max="8733" width="11" style="92" customWidth="1"/>
    <col min="8734" max="8734" width="45.5703125" style="92" bestFit="1" customWidth="1"/>
    <col min="8735" max="8735" width="39.85546875" style="92" bestFit="1" customWidth="1"/>
    <col min="8736" max="8736" width="9.140625" style="92"/>
    <col min="8737" max="8737" width="45.5703125" style="92" bestFit="1" customWidth="1"/>
    <col min="8738" max="8738" width="9.140625" style="92"/>
    <col min="8739" max="8739" width="30.28515625" style="92" bestFit="1" customWidth="1"/>
    <col min="8740" max="8740" width="9.140625" style="92"/>
    <col min="8741" max="8741" width="40" style="92" bestFit="1" customWidth="1"/>
    <col min="8742" max="8743" width="0" style="92" hidden="1" customWidth="1"/>
    <col min="8744" max="8746" width="9.140625" style="92"/>
    <col min="8747" max="8748" width="0" style="92" hidden="1" customWidth="1"/>
    <col min="8749" max="8965" width="9.140625" style="92"/>
    <col min="8966" max="8966" width="37.42578125" style="92" bestFit="1" customWidth="1"/>
    <col min="8967" max="8968" width="0" style="92" hidden="1" customWidth="1"/>
    <col min="8969" max="8969" width="32.28515625" style="92" bestFit="1" customWidth="1"/>
    <col min="8970" max="8971" width="34.5703125" style="92" bestFit="1" customWidth="1"/>
    <col min="8972" max="8973" width="9.140625" style="92"/>
    <col min="8974" max="8974" width="22.28515625" style="92" bestFit="1" customWidth="1"/>
    <col min="8975" max="8975" width="9.140625" style="92"/>
    <col min="8976" max="8976" width="30.7109375" style="92" bestFit="1" customWidth="1"/>
    <col min="8977" max="8977" width="11" style="92" customWidth="1"/>
    <col min="8978" max="8978" width="9.140625" style="92"/>
    <col min="8979" max="8979" width="24.28515625" style="92" bestFit="1" customWidth="1"/>
    <col min="8980" max="8980" width="9.140625" style="92"/>
    <col min="8981" max="8982" width="11" style="92" customWidth="1"/>
    <col min="8983" max="8983" width="11.42578125" style="92" bestFit="1" customWidth="1"/>
    <col min="8984" max="8984" width="11.7109375" style="92" bestFit="1" customWidth="1"/>
    <col min="8985" max="8985" width="10.28515625" style="92" bestFit="1" customWidth="1"/>
    <col min="8986" max="8989" width="11" style="92" customWidth="1"/>
    <col min="8990" max="8990" width="45.5703125" style="92" bestFit="1" customWidth="1"/>
    <col min="8991" max="8991" width="39.85546875" style="92" bestFit="1" customWidth="1"/>
    <col min="8992" max="8992" width="9.140625" style="92"/>
    <col min="8993" max="8993" width="45.5703125" style="92" bestFit="1" customWidth="1"/>
    <col min="8994" max="8994" width="9.140625" style="92"/>
    <col min="8995" max="8995" width="30.28515625" style="92" bestFit="1" customWidth="1"/>
    <col min="8996" max="8996" width="9.140625" style="92"/>
    <col min="8997" max="8997" width="40" style="92" bestFit="1" customWidth="1"/>
    <col min="8998" max="8999" width="0" style="92" hidden="1" customWidth="1"/>
    <col min="9000" max="9002" width="9.140625" style="92"/>
    <col min="9003" max="9004" width="0" style="92" hidden="1" customWidth="1"/>
    <col min="9005" max="9221" width="9.140625" style="92"/>
    <col min="9222" max="9222" width="37.42578125" style="92" bestFit="1" customWidth="1"/>
    <col min="9223" max="9224" width="0" style="92" hidden="1" customWidth="1"/>
    <col min="9225" max="9225" width="32.28515625" style="92" bestFit="1" customWidth="1"/>
    <col min="9226" max="9227" width="34.5703125" style="92" bestFit="1" customWidth="1"/>
    <col min="9228" max="9229" width="9.140625" style="92"/>
    <col min="9230" max="9230" width="22.28515625" style="92" bestFit="1" customWidth="1"/>
    <col min="9231" max="9231" width="9.140625" style="92"/>
    <col min="9232" max="9232" width="30.7109375" style="92" bestFit="1" customWidth="1"/>
    <col min="9233" max="9233" width="11" style="92" customWidth="1"/>
    <col min="9234" max="9234" width="9.140625" style="92"/>
    <col min="9235" max="9235" width="24.28515625" style="92" bestFit="1" customWidth="1"/>
    <col min="9236" max="9236" width="9.140625" style="92"/>
    <col min="9237" max="9238" width="11" style="92" customWidth="1"/>
    <col min="9239" max="9239" width="11.42578125" style="92" bestFit="1" customWidth="1"/>
    <col min="9240" max="9240" width="11.7109375" style="92" bestFit="1" customWidth="1"/>
    <col min="9241" max="9241" width="10.28515625" style="92" bestFit="1" customWidth="1"/>
    <col min="9242" max="9245" width="11" style="92" customWidth="1"/>
    <col min="9246" max="9246" width="45.5703125" style="92" bestFit="1" customWidth="1"/>
    <col min="9247" max="9247" width="39.85546875" style="92" bestFit="1" customWidth="1"/>
    <col min="9248" max="9248" width="9.140625" style="92"/>
    <col min="9249" max="9249" width="45.5703125" style="92" bestFit="1" customWidth="1"/>
    <col min="9250" max="9250" width="9.140625" style="92"/>
    <col min="9251" max="9251" width="30.28515625" style="92" bestFit="1" customWidth="1"/>
    <col min="9252" max="9252" width="9.140625" style="92"/>
    <col min="9253" max="9253" width="40" style="92" bestFit="1" customWidth="1"/>
    <col min="9254" max="9255" width="0" style="92" hidden="1" customWidth="1"/>
    <col min="9256" max="9258" width="9.140625" style="92"/>
    <col min="9259" max="9260" width="0" style="92" hidden="1" customWidth="1"/>
    <col min="9261" max="9477" width="9.140625" style="92"/>
    <col min="9478" max="9478" width="37.42578125" style="92" bestFit="1" customWidth="1"/>
    <col min="9479" max="9480" width="0" style="92" hidden="1" customWidth="1"/>
    <col min="9481" max="9481" width="32.28515625" style="92" bestFit="1" customWidth="1"/>
    <col min="9482" max="9483" width="34.5703125" style="92" bestFit="1" customWidth="1"/>
    <col min="9484" max="9485" width="9.140625" style="92"/>
    <col min="9486" max="9486" width="22.28515625" style="92" bestFit="1" customWidth="1"/>
    <col min="9487" max="9487" width="9.140625" style="92"/>
    <col min="9488" max="9488" width="30.7109375" style="92" bestFit="1" customWidth="1"/>
    <col min="9489" max="9489" width="11" style="92" customWidth="1"/>
    <col min="9490" max="9490" width="9.140625" style="92"/>
    <col min="9491" max="9491" width="24.28515625" style="92" bestFit="1" customWidth="1"/>
    <col min="9492" max="9492" width="9.140625" style="92"/>
    <col min="9493" max="9494" width="11" style="92" customWidth="1"/>
    <col min="9495" max="9495" width="11.42578125" style="92" bestFit="1" customWidth="1"/>
    <col min="9496" max="9496" width="11.7109375" style="92" bestFit="1" customWidth="1"/>
    <col min="9497" max="9497" width="10.28515625" style="92" bestFit="1" customWidth="1"/>
    <col min="9498" max="9501" width="11" style="92" customWidth="1"/>
    <col min="9502" max="9502" width="45.5703125" style="92" bestFit="1" customWidth="1"/>
    <col min="9503" max="9503" width="39.85546875" style="92" bestFit="1" customWidth="1"/>
    <col min="9504" max="9504" width="9.140625" style="92"/>
    <col min="9505" max="9505" width="45.5703125" style="92" bestFit="1" customWidth="1"/>
    <col min="9506" max="9506" width="9.140625" style="92"/>
    <col min="9507" max="9507" width="30.28515625" style="92" bestFit="1" customWidth="1"/>
    <col min="9508" max="9508" width="9.140625" style="92"/>
    <col min="9509" max="9509" width="40" style="92" bestFit="1" customWidth="1"/>
    <col min="9510" max="9511" width="0" style="92" hidden="1" customWidth="1"/>
    <col min="9512" max="9514" width="9.140625" style="92"/>
    <col min="9515" max="9516" width="0" style="92" hidden="1" customWidth="1"/>
    <col min="9517" max="9733" width="9.140625" style="92"/>
    <col min="9734" max="9734" width="37.42578125" style="92" bestFit="1" customWidth="1"/>
    <col min="9735" max="9736" width="0" style="92" hidden="1" customWidth="1"/>
    <col min="9737" max="9737" width="32.28515625" style="92" bestFit="1" customWidth="1"/>
    <col min="9738" max="9739" width="34.5703125" style="92" bestFit="1" customWidth="1"/>
    <col min="9740" max="9741" width="9.140625" style="92"/>
    <col min="9742" max="9742" width="22.28515625" style="92" bestFit="1" customWidth="1"/>
    <col min="9743" max="9743" width="9.140625" style="92"/>
    <col min="9744" max="9744" width="30.7109375" style="92" bestFit="1" customWidth="1"/>
    <col min="9745" max="9745" width="11" style="92" customWidth="1"/>
    <col min="9746" max="9746" width="9.140625" style="92"/>
    <col min="9747" max="9747" width="24.28515625" style="92" bestFit="1" customWidth="1"/>
    <col min="9748" max="9748" width="9.140625" style="92"/>
    <col min="9749" max="9750" width="11" style="92" customWidth="1"/>
    <col min="9751" max="9751" width="11.42578125" style="92" bestFit="1" customWidth="1"/>
    <col min="9752" max="9752" width="11.7109375" style="92" bestFit="1" customWidth="1"/>
    <col min="9753" max="9753" width="10.28515625" style="92" bestFit="1" customWidth="1"/>
    <col min="9754" max="9757" width="11" style="92" customWidth="1"/>
    <col min="9758" max="9758" width="45.5703125" style="92" bestFit="1" customWidth="1"/>
    <col min="9759" max="9759" width="39.85546875" style="92" bestFit="1" customWidth="1"/>
    <col min="9760" max="9760" width="9.140625" style="92"/>
    <col min="9761" max="9761" width="45.5703125" style="92" bestFit="1" customWidth="1"/>
    <col min="9762" max="9762" width="9.140625" style="92"/>
    <col min="9763" max="9763" width="30.28515625" style="92" bestFit="1" customWidth="1"/>
    <col min="9764" max="9764" width="9.140625" style="92"/>
    <col min="9765" max="9765" width="40" style="92" bestFit="1" customWidth="1"/>
    <col min="9766" max="9767" width="0" style="92" hidden="1" customWidth="1"/>
    <col min="9768" max="9770" width="9.140625" style="92"/>
    <col min="9771" max="9772" width="0" style="92" hidden="1" customWidth="1"/>
    <col min="9773" max="9989" width="9.140625" style="92"/>
    <col min="9990" max="9990" width="37.42578125" style="92" bestFit="1" customWidth="1"/>
    <col min="9991" max="9992" width="0" style="92" hidden="1" customWidth="1"/>
    <col min="9993" max="9993" width="32.28515625" style="92" bestFit="1" customWidth="1"/>
    <col min="9994" max="9995" width="34.5703125" style="92" bestFit="1" customWidth="1"/>
    <col min="9996" max="9997" width="9.140625" style="92"/>
    <col min="9998" max="9998" width="22.28515625" style="92" bestFit="1" customWidth="1"/>
    <col min="9999" max="9999" width="9.140625" style="92"/>
    <col min="10000" max="10000" width="30.7109375" style="92" bestFit="1" customWidth="1"/>
    <col min="10001" max="10001" width="11" style="92" customWidth="1"/>
    <col min="10002" max="10002" width="9.140625" style="92"/>
    <col min="10003" max="10003" width="24.28515625" style="92" bestFit="1" customWidth="1"/>
    <col min="10004" max="10004" width="9.140625" style="92"/>
    <col min="10005" max="10006" width="11" style="92" customWidth="1"/>
    <col min="10007" max="10007" width="11.42578125" style="92" bestFit="1" customWidth="1"/>
    <col min="10008" max="10008" width="11.7109375" style="92" bestFit="1" customWidth="1"/>
    <col min="10009" max="10009" width="10.28515625" style="92" bestFit="1" customWidth="1"/>
    <col min="10010" max="10013" width="11" style="92" customWidth="1"/>
    <col min="10014" max="10014" width="45.5703125" style="92" bestFit="1" customWidth="1"/>
    <col min="10015" max="10015" width="39.85546875" style="92" bestFit="1" customWidth="1"/>
    <col min="10016" max="10016" width="9.140625" style="92"/>
    <col min="10017" max="10017" width="45.5703125" style="92" bestFit="1" customWidth="1"/>
    <col min="10018" max="10018" width="9.140625" style="92"/>
    <col min="10019" max="10019" width="30.28515625" style="92" bestFit="1" customWidth="1"/>
    <col min="10020" max="10020" width="9.140625" style="92"/>
    <col min="10021" max="10021" width="40" style="92" bestFit="1" customWidth="1"/>
    <col min="10022" max="10023" width="0" style="92" hidden="1" customWidth="1"/>
    <col min="10024" max="10026" width="9.140625" style="92"/>
    <col min="10027" max="10028" width="0" style="92" hidden="1" customWidth="1"/>
    <col min="10029" max="10245" width="9.140625" style="92"/>
    <col min="10246" max="10246" width="37.42578125" style="92" bestFit="1" customWidth="1"/>
    <col min="10247" max="10248" width="0" style="92" hidden="1" customWidth="1"/>
    <col min="10249" max="10249" width="32.28515625" style="92" bestFit="1" customWidth="1"/>
    <col min="10250" max="10251" width="34.5703125" style="92" bestFit="1" customWidth="1"/>
    <col min="10252" max="10253" width="9.140625" style="92"/>
    <col min="10254" max="10254" width="22.28515625" style="92" bestFit="1" customWidth="1"/>
    <col min="10255" max="10255" width="9.140625" style="92"/>
    <col min="10256" max="10256" width="30.7109375" style="92" bestFit="1" customWidth="1"/>
    <col min="10257" max="10257" width="11" style="92" customWidth="1"/>
    <col min="10258" max="10258" width="9.140625" style="92"/>
    <col min="10259" max="10259" width="24.28515625" style="92" bestFit="1" customWidth="1"/>
    <col min="10260" max="10260" width="9.140625" style="92"/>
    <col min="10261" max="10262" width="11" style="92" customWidth="1"/>
    <col min="10263" max="10263" width="11.42578125" style="92" bestFit="1" customWidth="1"/>
    <col min="10264" max="10264" width="11.7109375" style="92" bestFit="1" customWidth="1"/>
    <col min="10265" max="10265" width="10.28515625" style="92" bestFit="1" customWidth="1"/>
    <col min="10266" max="10269" width="11" style="92" customWidth="1"/>
    <col min="10270" max="10270" width="45.5703125" style="92" bestFit="1" customWidth="1"/>
    <col min="10271" max="10271" width="39.85546875" style="92" bestFit="1" customWidth="1"/>
    <col min="10272" max="10272" width="9.140625" style="92"/>
    <col min="10273" max="10273" width="45.5703125" style="92" bestFit="1" customWidth="1"/>
    <col min="10274" max="10274" width="9.140625" style="92"/>
    <col min="10275" max="10275" width="30.28515625" style="92" bestFit="1" customWidth="1"/>
    <col min="10276" max="10276" width="9.140625" style="92"/>
    <col min="10277" max="10277" width="40" style="92" bestFit="1" customWidth="1"/>
    <col min="10278" max="10279" width="0" style="92" hidden="1" customWidth="1"/>
    <col min="10280" max="10282" width="9.140625" style="92"/>
    <col min="10283" max="10284" width="0" style="92" hidden="1" customWidth="1"/>
    <col min="10285" max="10501" width="9.140625" style="92"/>
    <col min="10502" max="10502" width="37.42578125" style="92" bestFit="1" customWidth="1"/>
    <col min="10503" max="10504" width="0" style="92" hidden="1" customWidth="1"/>
    <col min="10505" max="10505" width="32.28515625" style="92" bestFit="1" customWidth="1"/>
    <col min="10506" max="10507" width="34.5703125" style="92" bestFit="1" customWidth="1"/>
    <col min="10508" max="10509" width="9.140625" style="92"/>
    <col min="10510" max="10510" width="22.28515625" style="92" bestFit="1" customWidth="1"/>
    <col min="10511" max="10511" width="9.140625" style="92"/>
    <col min="10512" max="10512" width="30.7109375" style="92" bestFit="1" customWidth="1"/>
    <col min="10513" max="10513" width="11" style="92" customWidth="1"/>
    <col min="10514" max="10514" width="9.140625" style="92"/>
    <col min="10515" max="10515" width="24.28515625" style="92" bestFit="1" customWidth="1"/>
    <col min="10516" max="10516" width="9.140625" style="92"/>
    <col min="10517" max="10518" width="11" style="92" customWidth="1"/>
    <col min="10519" max="10519" width="11.42578125" style="92" bestFit="1" customWidth="1"/>
    <col min="10520" max="10520" width="11.7109375" style="92" bestFit="1" customWidth="1"/>
    <col min="10521" max="10521" width="10.28515625" style="92" bestFit="1" customWidth="1"/>
    <col min="10522" max="10525" width="11" style="92" customWidth="1"/>
    <col min="10526" max="10526" width="45.5703125" style="92" bestFit="1" customWidth="1"/>
    <col min="10527" max="10527" width="39.85546875" style="92" bestFit="1" customWidth="1"/>
    <col min="10528" max="10528" width="9.140625" style="92"/>
    <col min="10529" max="10529" width="45.5703125" style="92" bestFit="1" customWidth="1"/>
    <col min="10530" max="10530" width="9.140625" style="92"/>
    <col min="10531" max="10531" width="30.28515625" style="92" bestFit="1" customWidth="1"/>
    <col min="10532" max="10532" width="9.140625" style="92"/>
    <col min="10533" max="10533" width="40" style="92" bestFit="1" customWidth="1"/>
    <col min="10534" max="10535" width="0" style="92" hidden="1" customWidth="1"/>
    <col min="10536" max="10538" width="9.140625" style="92"/>
    <col min="10539" max="10540" width="0" style="92" hidden="1" customWidth="1"/>
    <col min="10541" max="10757" width="9.140625" style="92"/>
    <col min="10758" max="10758" width="37.42578125" style="92" bestFit="1" customWidth="1"/>
    <col min="10759" max="10760" width="0" style="92" hidden="1" customWidth="1"/>
    <col min="10761" max="10761" width="32.28515625" style="92" bestFit="1" customWidth="1"/>
    <col min="10762" max="10763" width="34.5703125" style="92" bestFit="1" customWidth="1"/>
    <col min="10764" max="10765" width="9.140625" style="92"/>
    <col min="10766" max="10766" width="22.28515625" style="92" bestFit="1" customWidth="1"/>
    <col min="10767" max="10767" width="9.140625" style="92"/>
    <col min="10768" max="10768" width="30.7109375" style="92" bestFit="1" customWidth="1"/>
    <col min="10769" max="10769" width="11" style="92" customWidth="1"/>
    <col min="10770" max="10770" width="9.140625" style="92"/>
    <col min="10771" max="10771" width="24.28515625" style="92" bestFit="1" customWidth="1"/>
    <col min="10772" max="10772" width="9.140625" style="92"/>
    <col min="10773" max="10774" width="11" style="92" customWidth="1"/>
    <col min="10775" max="10775" width="11.42578125" style="92" bestFit="1" customWidth="1"/>
    <col min="10776" max="10776" width="11.7109375" style="92" bestFit="1" customWidth="1"/>
    <col min="10777" max="10777" width="10.28515625" style="92" bestFit="1" customWidth="1"/>
    <col min="10778" max="10781" width="11" style="92" customWidth="1"/>
    <col min="10782" max="10782" width="45.5703125" style="92" bestFit="1" customWidth="1"/>
    <col min="10783" max="10783" width="39.85546875" style="92" bestFit="1" customWidth="1"/>
    <col min="10784" max="10784" width="9.140625" style="92"/>
    <col min="10785" max="10785" width="45.5703125" style="92" bestFit="1" customWidth="1"/>
    <col min="10786" max="10786" width="9.140625" style="92"/>
    <col min="10787" max="10787" width="30.28515625" style="92" bestFit="1" customWidth="1"/>
    <col min="10788" max="10788" width="9.140625" style="92"/>
    <col min="10789" max="10789" width="40" style="92" bestFit="1" customWidth="1"/>
    <col min="10790" max="10791" width="0" style="92" hidden="1" customWidth="1"/>
    <col min="10792" max="10794" width="9.140625" style="92"/>
    <col min="10795" max="10796" width="0" style="92" hidden="1" customWidth="1"/>
    <col min="10797" max="11013" width="9.140625" style="92"/>
    <col min="11014" max="11014" width="37.42578125" style="92" bestFit="1" customWidth="1"/>
    <col min="11015" max="11016" width="0" style="92" hidden="1" customWidth="1"/>
    <col min="11017" max="11017" width="32.28515625" style="92" bestFit="1" customWidth="1"/>
    <col min="11018" max="11019" width="34.5703125" style="92" bestFit="1" customWidth="1"/>
    <col min="11020" max="11021" width="9.140625" style="92"/>
    <col min="11022" max="11022" width="22.28515625" style="92" bestFit="1" customWidth="1"/>
    <col min="11023" max="11023" width="9.140625" style="92"/>
    <col min="11024" max="11024" width="30.7109375" style="92" bestFit="1" customWidth="1"/>
    <col min="11025" max="11025" width="11" style="92" customWidth="1"/>
    <col min="11026" max="11026" width="9.140625" style="92"/>
    <col min="11027" max="11027" width="24.28515625" style="92" bestFit="1" customWidth="1"/>
    <col min="11028" max="11028" width="9.140625" style="92"/>
    <col min="11029" max="11030" width="11" style="92" customWidth="1"/>
    <col min="11031" max="11031" width="11.42578125" style="92" bestFit="1" customWidth="1"/>
    <col min="11032" max="11032" width="11.7109375" style="92" bestFit="1" customWidth="1"/>
    <col min="11033" max="11033" width="10.28515625" style="92" bestFit="1" customWidth="1"/>
    <col min="11034" max="11037" width="11" style="92" customWidth="1"/>
    <col min="11038" max="11038" width="45.5703125" style="92" bestFit="1" customWidth="1"/>
    <col min="11039" max="11039" width="39.85546875" style="92" bestFit="1" customWidth="1"/>
    <col min="11040" max="11040" width="9.140625" style="92"/>
    <col min="11041" max="11041" width="45.5703125" style="92" bestFit="1" customWidth="1"/>
    <col min="11042" max="11042" width="9.140625" style="92"/>
    <col min="11043" max="11043" width="30.28515625" style="92" bestFit="1" customWidth="1"/>
    <col min="11044" max="11044" width="9.140625" style="92"/>
    <col min="11045" max="11045" width="40" style="92" bestFit="1" customWidth="1"/>
    <col min="11046" max="11047" width="0" style="92" hidden="1" customWidth="1"/>
    <col min="11048" max="11050" width="9.140625" style="92"/>
    <col min="11051" max="11052" width="0" style="92" hidden="1" customWidth="1"/>
    <col min="11053" max="11269" width="9.140625" style="92"/>
    <col min="11270" max="11270" width="37.42578125" style="92" bestFit="1" customWidth="1"/>
    <col min="11271" max="11272" width="0" style="92" hidden="1" customWidth="1"/>
    <col min="11273" max="11273" width="32.28515625" style="92" bestFit="1" customWidth="1"/>
    <col min="11274" max="11275" width="34.5703125" style="92" bestFit="1" customWidth="1"/>
    <col min="11276" max="11277" width="9.140625" style="92"/>
    <col min="11278" max="11278" width="22.28515625" style="92" bestFit="1" customWidth="1"/>
    <col min="11279" max="11279" width="9.140625" style="92"/>
    <col min="11280" max="11280" width="30.7109375" style="92" bestFit="1" customWidth="1"/>
    <col min="11281" max="11281" width="11" style="92" customWidth="1"/>
    <col min="11282" max="11282" width="9.140625" style="92"/>
    <col min="11283" max="11283" width="24.28515625" style="92" bestFit="1" customWidth="1"/>
    <col min="11284" max="11284" width="9.140625" style="92"/>
    <col min="11285" max="11286" width="11" style="92" customWidth="1"/>
    <col min="11287" max="11287" width="11.42578125" style="92" bestFit="1" customWidth="1"/>
    <col min="11288" max="11288" width="11.7109375" style="92" bestFit="1" customWidth="1"/>
    <col min="11289" max="11289" width="10.28515625" style="92" bestFit="1" customWidth="1"/>
    <col min="11290" max="11293" width="11" style="92" customWidth="1"/>
    <col min="11294" max="11294" width="45.5703125" style="92" bestFit="1" customWidth="1"/>
    <col min="11295" max="11295" width="39.85546875" style="92" bestFit="1" customWidth="1"/>
    <col min="11296" max="11296" width="9.140625" style="92"/>
    <col min="11297" max="11297" width="45.5703125" style="92" bestFit="1" customWidth="1"/>
    <col min="11298" max="11298" width="9.140625" style="92"/>
    <col min="11299" max="11299" width="30.28515625" style="92" bestFit="1" customWidth="1"/>
    <col min="11300" max="11300" width="9.140625" style="92"/>
    <col min="11301" max="11301" width="40" style="92" bestFit="1" customWidth="1"/>
    <col min="11302" max="11303" width="0" style="92" hidden="1" customWidth="1"/>
    <col min="11304" max="11306" width="9.140625" style="92"/>
    <col min="11307" max="11308" width="0" style="92" hidden="1" customWidth="1"/>
    <col min="11309" max="11525" width="9.140625" style="92"/>
    <col min="11526" max="11526" width="37.42578125" style="92" bestFit="1" customWidth="1"/>
    <col min="11527" max="11528" width="0" style="92" hidden="1" customWidth="1"/>
    <col min="11529" max="11529" width="32.28515625" style="92" bestFit="1" customWidth="1"/>
    <col min="11530" max="11531" width="34.5703125" style="92" bestFit="1" customWidth="1"/>
    <col min="11532" max="11533" width="9.140625" style="92"/>
    <col min="11534" max="11534" width="22.28515625" style="92" bestFit="1" customWidth="1"/>
    <col min="11535" max="11535" width="9.140625" style="92"/>
    <col min="11536" max="11536" width="30.7109375" style="92" bestFit="1" customWidth="1"/>
    <col min="11537" max="11537" width="11" style="92" customWidth="1"/>
    <col min="11538" max="11538" width="9.140625" style="92"/>
    <col min="11539" max="11539" width="24.28515625" style="92" bestFit="1" customWidth="1"/>
    <col min="11540" max="11540" width="9.140625" style="92"/>
    <col min="11541" max="11542" width="11" style="92" customWidth="1"/>
    <col min="11543" max="11543" width="11.42578125" style="92" bestFit="1" customWidth="1"/>
    <col min="11544" max="11544" width="11.7109375" style="92" bestFit="1" customWidth="1"/>
    <col min="11545" max="11545" width="10.28515625" style="92" bestFit="1" customWidth="1"/>
    <col min="11546" max="11549" width="11" style="92" customWidth="1"/>
    <col min="11550" max="11550" width="45.5703125" style="92" bestFit="1" customWidth="1"/>
    <col min="11551" max="11551" width="39.85546875" style="92" bestFit="1" customWidth="1"/>
    <col min="11552" max="11552" width="9.140625" style="92"/>
    <col min="11553" max="11553" width="45.5703125" style="92" bestFit="1" customWidth="1"/>
    <col min="11554" max="11554" width="9.140625" style="92"/>
    <col min="11555" max="11555" width="30.28515625" style="92" bestFit="1" customWidth="1"/>
    <col min="11556" max="11556" width="9.140625" style="92"/>
    <col min="11557" max="11557" width="40" style="92" bestFit="1" customWidth="1"/>
    <col min="11558" max="11559" width="0" style="92" hidden="1" customWidth="1"/>
    <col min="11560" max="11562" width="9.140625" style="92"/>
    <col min="11563" max="11564" width="0" style="92" hidden="1" customWidth="1"/>
    <col min="11565" max="11781" width="9.140625" style="92"/>
    <col min="11782" max="11782" width="37.42578125" style="92" bestFit="1" customWidth="1"/>
    <col min="11783" max="11784" width="0" style="92" hidden="1" customWidth="1"/>
    <col min="11785" max="11785" width="32.28515625" style="92" bestFit="1" customWidth="1"/>
    <col min="11786" max="11787" width="34.5703125" style="92" bestFit="1" customWidth="1"/>
    <col min="11788" max="11789" width="9.140625" style="92"/>
    <col min="11790" max="11790" width="22.28515625" style="92" bestFit="1" customWidth="1"/>
    <col min="11791" max="11791" width="9.140625" style="92"/>
    <col min="11792" max="11792" width="30.7109375" style="92" bestFit="1" customWidth="1"/>
    <col min="11793" max="11793" width="11" style="92" customWidth="1"/>
    <col min="11794" max="11794" width="9.140625" style="92"/>
    <col min="11795" max="11795" width="24.28515625" style="92" bestFit="1" customWidth="1"/>
    <col min="11796" max="11796" width="9.140625" style="92"/>
    <col min="11797" max="11798" width="11" style="92" customWidth="1"/>
    <col min="11799" max="11799" width="11.42578125" style="92" bestFit="1" customWidth="1"/>
    <col min="11800" max="11800" width="11.7109375" style="92" bestFit="1" customWidth="1"/>
    <col min="11801" max="11801" width="10.28515625" style="92" bestFit="1" customWidth="1"/>
    <col min="11802" max="11805" width="11" style="92" customWidth="1"/>
    <col min="11806" max="11806" width="45.5703125" style="92" bestFit="1" customWidth="1"/>
    <col min="11807" max="11807" width="39.85546875" style="92" bestFit="1" customWidth="1"/>
    <col min="11808" max="11808" width="9.140625" style="92"/>
    <col min="11809" max="11809" width="45.5703125" style="92" bestFit="1" customWidth="1"/>
    <col min="11810" max="11810" width="9.140625" style="92"/>
    <col min="11811" max="11811" width="30.28515625" style="92" bestFit="1" customWidth="1"/>
    <col min="11812" max="11812" width="9.140625" style="92"/>
    <col min="11813" max="11813" width="40" style="92" bestFit="1" customWidth="1"/>
    <col min="11814" max="11815" width="0" style="92" hidden="1" customWidth="1"/>
    <col min="11816" max="11818" width="9.140625" style="92"/>
    <col min="11819" max="11820" width="0" style="92" hidden="1" customWidth="1"/>
    <col min="11821" max="12037" width="9.140625" style="92"/>
    <col min="12038" max="12038" width="37.42578125" style="92" bestFit="1" customWidth="1"/>
    <col min="12039" max="12040" width="0" style="92" hidden="1" customWidth="1"/>
    <col min="12041" max="12041" width="32.28515625" style="92" bestFit="1" customWidth="1"/>
    <col min="12042" max="12043" width="34.5703125" style="92" bestFit="1" customWidth="1"/>
    <col min="12044" max="12045" width="9.140625" style="92"/>
    <col min="12046" max="12046" width="22.28515625" style="92" bestFit="1" customWidth="1"/>
    <col min="12047" max="12047" width="9.140625" style="92"/>
    <col min="12048" max="12048" width="30.7109375" style="92" bestFit="1" customWidth="1"/>
    <col min="12049" max="12049" width="11" style="92" customWidth="1"/>
    <col min="12050" max="12050" width="9.140625" style="92"/>
    <col min="12051" max="12051" width="24.28515625" style="92" bestFit="1" customWidth="1"/>
    <col min="12052" max="12052" width="9.140625" style="92"/>
    <col min="12053" max="12054" width="11" style="92" customWidth="1"/>
    <col min="12055" max="12055" width="11.42578125" style="92" bestFit="1" customWidth="1"/>
    <col min="12056" max="12056" width="11.7109375" style="92" bestFit="1" customWidth="1"/>
    <col min="12057" max="12057" width="10.28515625" style="92" bestFit="1" customWidth="1"/>
    <col min="12058" max="12061" width="11" style="92" customWidth="1"/>
    <col min="12062" max="12062" width="45.5703125" style="92" bestFit="1" customWidth="1"/>
    <col min="12063" max="12063" width="39.85546875" style="92" bestFit="1" customWidth="1"/>
    <col min="12064" max="12064" width="9.140625" style="92"/>
    <col min="12065" max="12065" width="45.5703125" style="92" bestFit="1" customWidth="1"/>
    <col min="12066" max="12066" width="9.140625" style="92"/>
    <col min="12067" max="12067" width="30.28515625" style="92" bestFit="1" customWidth="1"/>
    <col min="12068" max="12068" width="9.140625" style="92"/>
    <col min="12069" max="12069" width="40" style="92" bestFit="1" customWidth="1"/>
    <col min="12070" max="12071" width="0" style="92" hidden="1" customWidth="1"/>
    <col min="12072" max="12074" width="9.140625" style="92"/>
    <col min="12075" max="12076" width="0" style="92" hidden="1" customWidth="1"/>
    <col min="12077" max="12293" width="9.140625" style="92"/>
    <col min="12294" max="12294" width="37.42578125" style="92" bestFit="1" customWidth="1"/>
    <col min="12295" max="12296" width="0" style="92" hidden="1" customWidth="1"/>
    <col min="12297" max="12297" width="32.28515625" style="92" bestFit="1" customWidth="1"/>
    <col min="12298" max="12299" width="34.5703125" style="92" bestFit="1" customWidth="1"/>
    <col min="12300" max="12301" width="9.140625" style="92"/>
    <col min="12302" max="12302" width="22.28515625" style="92" bestFit="1" customWidth="1"/>
    <col min="12303" max="12303" width="9.140625" style="92"/>
    <col min="12304" max="12304" width="30.7109375" style="92" bestFit="1" customWidth="1"/>
    <col min="12305" max="12305" width="11" style="92" customWidth="1"/>
    <col min="12306" max="12306" width="9.140625" style="92"/>
    <col min="12307" max="12307" width="24.28515625" style="92" bestFit="1" customWidth="1"/>
    <col min="12308" max="12308" width="9.140625" style="92"/>
    <col min="12309" max="12310" width="11" style="92" customWidth="1"/>
    <col min="12311" max="12311" width="11.42578125" style="92" bestFit="1" customWidth="1"/>
    <col min="12312" max="12312" width="11.7109375" style="92" bestFit="1" customWidth="1"/>
    <col min="12313" max="12313" width="10.28515625" style="92" bestFit="1" customWidth="1"/>
    <col min="12314" max="12317" width="11" style="92" customWidth="1"/>
    <col min="12318" max="12318" width="45.5703125" style="92" bestFit="1" customWidth="1"/>
    <col min="12319" max="12319" width="39.85546875" style="92" bestFit="1" customWidth="1"/>
    <col min="12320" max="12320" width="9.140625" style="92"/>
    <col min="12321" max="12321" width="45.5703125" style="92" bestFit="1" customWidth="1"/>
    <col min="12322" max="12322" width="9.140625" style="92"/>
    <col min="12323" max="12323" width="30.28515625" style="92" bestFit="1" customWidth="1"/>
    <col min="12324" max="12324" width="9.140625" style="92"/>
    <col min="12325" max="12325" width="40" style="92" bestFit="1" customWidth="1"/>
    <col min="12326" max="12327" width="0" style="92" hidden="1" customWidth="1"/>
    <col min="12328" max="12330" width="9.140625" style="92"/>
    <col min="12331" max="12332" width="0" style="92" hidden="1" customWidth="1"/>
    <col min="12333" max="12549" width="9.140625" style="92"/>
    <col min="12550" max="12550" width="37.42578125" style="92" bestFit="1" customWidth="1"/>
    <col min="12551" max="12552" width="0" style="92" hidden="1" customWidth="1"/>
    <col min="12553" max="12553" width="32.28515625" style="92" bestFit="1" customWidth="1"/>
    <col min="12554" max="12555" width="34.5703125" style="92" bestFit="1" customWidth="1"/>
    <col min="12556" max="12557" width="9.140625" style="92"/>
    <col min="12558" max="12558" width="22.28515625" style="92" bestFit="1" customWidth="1"/>
    <col min="12559" max="12559" width="9.140625" style="92"/>
    <col min="12560" max="12560" width="30.7109375" style="92" bestFit="1" customWidth="1"/>
    <col min="12561" max="12561" width="11" style="92" customWidth="1"/>
    <col min="12562" max="12562" width="9.140625" style="92"/>
    <col min="12563" max="12563" width="24.28515625" style="92" bestFit="1" customWidth="1"/>
    <col min="12564" max="12564" width="9.140625" style="92"/>
    <col min="12565" max="12566" width="11" style="92" customWidth="1"/>
    <col min="12567" max="12567" width="11.42578125" style="92" bestFit="1" customWidth="1"/>
    <col min="12568" max="12568" width="11.7109375" style="92" bestFit="1" customWidth="1"/>
    <col min="12569" max="12569" width="10.28515625" style="92" bestFit="1" customWidth="1"/>
    <col min="12570" max="12573" width="11" style="92" customWidth="1"/>
    <col min="12574" max="12574" width="45.5703125" style="92" bestFit="1" customWidth="1"/>
    <col min="12575" max="12575" width="39.85546875" style="92" bestFit="1" customWidth="1"/>
    <col min="12576" max="12576" width="9.140625" style="92"/>
    <col min="12577" max="12577" width="45.5703125" style="92" bestFit="1" customWidth="1"/>
    <col min="12578" max="12578" width="9.140625" style="92"/>
    <col min="12579" max="12579" width="30.28515625" style="92" bestFit="1" customWidth="1"/>
    <col min="12580" max="12580" width="9.140625" style="92"/>
    <col min="12581" max="12581" width="40" style="92" bestFit="1" customWidth="1"/>
    <col min="12582" max="12583" width="0" style="92" hidden="1" customWidth="1"/>
    <col min="12584" max="12586" width="9.140625" style="92"/>
    <col min="12587" max="12588" width="0" style="92" hidden="1" customWidth="1"/>
    <col min="12589" max="12805" width="9.140625" style="92"/>
    <col min="12806" max="12806" width="37.42578125" style="92" bestFit="1" customWidth="1"/>
    <col min="12807" max="12808" width="0" style="92" hidden="1" customWidth="1"/>
    <col min="12809" max="12809" width="32.28515625" style="92" bestFit="1" customWidth="1"/>
    <col min="12810" max="12811" width="34.5703125" style="92" bestFit="1" customWidth="1"/>
    <col min="12812" max="12813" width="9.140625" style="92"/>
    <col min="12814" max="12814" width="22.28515625" style="92" bestFit="1" customWidth="1"/>
    <col min="12815" max="12815" width="9.140625" style="92"/>
    <col min="12816" max="12816" width="30.7109375" style="92" bestFit="1" customWidth="1"/>
    <col min="12817" max="12817" width="11" style="92" customWidth="1"/>
    <col min="12818" max="12818" width="9.140625" style="92"/>
    <col min="12819" max="12819" width="24.28515625" style="92" bestFit="1" customWidth="1"/>
    <col min="12820" max="12820" width="9.140625" style="92"/>
    <col min="12821" max="12822" width="11" style="92" customWidth="1"/>
    <col min="12823" max="12823" width="11.42578125" style="92" bestFit="1" customWidth="1"/>
    <col min="12824" max="12824" width="11.7109375" style="92" bestFit="1" customWidth="1"/>
    <col min="12825" max="12825" width="10.28515625" style="92" bestFit="1" customWidth="1"/>
    <col min="12826" max="12829" width="11" style="92" customWidth="1"/>
    <col min="12830" max="12830" width="45.5703125" style="92" bestFit="1" customWidth="1"/>
    <col min="12831" max="12831" width="39.85546875" style="92" bestFit="1" customWidth="1"/>
    <col min="12832" max="12832" width="9.140625" style="92"/>
    <col min="12833" max="12833" width="45.5703125" style="92" bestFit="1" customWidth="1"/>
    <col min="12834" max="12834" width="9.140625" style="92"/>
    <col min="12835" max="12835" width="30.28515625" style="92" bestFit="1" customWidth="1"/>
    <col min="12836" max="12836" width="9.140625" style="92"/>
    <col min="12837" max="12837" width="40" style="92" bestFit="1" customWidth="1"/>
    <col min="12838" max="12839" width="0" style="92" hidden="1" customWidth="1"/>
    <col min="12840" max="12842" width="9.140625" style="92"/>
    <col min="12843" max="12844" width="0" style="92" hidden="1" customWidth="1"/>
    <col min="12845" max="13061" width="9.140625" style="92"/>
    <col min="13062" max="13062" width="37.42578125" style="92" bestFit="1" customWidth="1"/>
    <col min="13063" max="13064" width="0" style="92" hidden="1" customWidth="1"/>
    <col min="13065" max="13065" width="32.28515625" style="92" bestFit="1" customWidth="1"/>
    <col min="13066" max="13067" width="34.5703125" style="92" bestFit="1" customWidth="1"/>
    <col min="13068" max="13069" width="9.140625" style="92"/>
    <col min="13070" max="13070" width="22.28515625" style="92" bestFit="1" customWidth="1"/>
    <col min="13071" max="13071" width="9.140625" style="92"/>
    <col min="13072" max="13072" width="30.7109375" style="92" bestFit="1" customWidth="1"/>
    <col min="13073" max="13073" width="11" style="92" customWidth="1"/>
    <col min="13074" max="13074" width="9.140625" style="92"/>
    <col min="13075" max="13075" width="24.28515625" style="92" bestFit="1" customWidth="1"/>
    <col min="13076" max="13076" width="9.140625" style="92"/>
    <col min="13077" max="13078" width="11" style="92" customWidth="1"/>
    <col min="13079" max="13079" width="11.42578125" style="92" bestFit="1" customWidth="1"/>
    <col min="13080" max="13080" width="11.7109375" style="92" bestFit="1" customWidth="1"/>
    <col min="13081" max="13081" width="10.28515625" style="92" bestFit="1" customWidth="1"/>
    <col min="13082" max="13085" width="11" style="92" customWidth="1"/>
    <col min="13086" max="13086" width="45.5703125" style="92" bestFit="1" customWidth="1"/>
    <col min="13087" max="13087" width="39.85546875" style="92" bestFit="1" customWidth="1"/>
    <col min="13088" max="13088" width="9.140625" style="92"/>
    <col min="13089" max="13089" width="45.5703125" style="92" bestFit="1" customWidth="1"/>
    <col min="13090" max="13090" width="9.140625" style="92"/>
    <col min="13091" max="13091" width="30.28515625" style="92" bestFit="1" customWidth="1"/>
    <col min="13092" max="13092" width="9.140625" style="92"/>
    <col min="13093" max="13093" width="40" style="92" bestFit="1" customWidth="1"/>
    <col min="13094" max="13095" width="0" style="92" hidden="1" customWidth="1"/>
    <col min="13096" max="13098" width="9.140625" style="92"/>
    <col min="13099" max="13100" width="0" style="92" hidden="1" customWidth="1"/>
    <col min="13101" max="13317" width="9.140625" style="92"/>
    <col min="13318" max="13318" width="37.42578125" style="92" bestFit="1" customWidth="1"/>
    <col min="13319" max="13320" width="0" style="92" hidden="1" customWidth="1"/>
    <col min="13321" max="13321" width="32.28515625" style="92" bestFit="1" customWidth="1"/>
    <col min="13322" max="13323" width="34.5703125" style="92" bestFit="1" customWidth="1"/>
    <col min="13324" max="13325" width="9.140625" style="92"/>
    <col min="13326" max="13326" width="22.28515625" style="92" bestFit="1" customWidth="1"/>
    <col min="13327" max="13327" width="9.140625" style="92"/>
    <col min="13328" max="13328" width="30.7109375" style="92" bestFit="1" customWidth="1"/>
    <col min="13329" max="13329" width="11" style="92" customWidth="1"/>
    <col min="13330" max="13330" width="9.140625" style="92"/>
    <col min="13331" max="13331" width="24.28515625" style="92" bestFit="1" customWidth="1"/>
    <col min="13332" max="13332" width="9.140625" style="92"/>
    <col min="13333" max="13334" width="11" style="92" customWidth="1"/>
    <col min="13335" max="13335" width="11.42578125" style="92" bestFit="1" customWidth="1"/>
    <col min="13336" max="13336" width="11.7109375" style="92" bestFit="1" customWidth="1"/>
    <col min="13337" max="13337" width="10.28515625" style="92" bestFit="1" customWidth="1"/>
    <col min="13338" max="13341" width="11" style="92" customWidth="1"/>
    <col min="13342" max="13342" width="45.5703125" style="92" bestFit="1" customWidth="1"/>
    <col min="13343" max="13343" width="39.85546875" style="92" bestFit="1" customWidth="1"/>
    <col min="13344" max="13344" width="9.140625" style="92"/>
    <col min="13345" max="13345" width="45.5703125" style="92" bestFit="1" customWidth="1"/>
    <col min="13346" max="13346" width="9.140625" style="92"/>
    <col min="13347" max="13347" width="30.28515625" style="92" bestFit="1" customWidth="1"/>
    <col min="13348" max="13348" width="9.140625" style="92"/>
    <col min="13349" max="13349" width="40" style="92" bestFit="1" customWidth="1"/>
    <col min="13350" max="13351" width="0" style="92" hidden="1" customWidth="1"/>
    <col min="13352" max="13354" width="9.140625" style="92"/>
    <col min="13355" max="13356" width="0" style="92" hidden="1" customWidth="1"/>
    <col min="13357" max="13573" width="9.140625" style="92"/>
    <col min="13574" max="13574" width="37.42578125" style="92" bestFit="1" customWidth="1"/>
    <col min="13575" max="13576" width="0" style="92" hidden="1" customWidth="1"/>
    <col min="13577" max="13577" width="32.28515625" style="92" bestFit="1" customWidth="1"/>
    <col min="13578" max="13579" width="34.5703125" style="92" bestFit="1" customWidth="1"/>
    <col min="13580" max="13581" width="9.140625" style="92"/>
    <col min="13582" max="13582" width="22.28515625" style="92" bestFit="1" customWidth="1"/>
    <col min="13583" max="13583" width="9.140625" style="92"/>
    <col min="13584" max="13584" width="30.7109375" style="92" bestFit="1" customWidth="1"/>
    <col min="13585" max="13585" width="11" style="92" customWidth="1"/>
    <col min="13586" max="13586" width="9.140625" style="92"/>
    <col min="13587" max="13587" width="24.28515625" style="92" bestFit="1" customWidth="1"/>
    <col min="13588" max="13588" width="9.140625" style="92"/>
    <col min="13589" max="13590" width="11" style="92" customWidth="1"/>
    <col min="13591" max="13591" width="11.42578125" style="92" bestFit="1" customWidth="1"/>
    <col min="13592" max="13592" width="11.7109375" style="92" bestFit="1" customWidth="1"/>
    <col min="13593" max="13593" width="10.28515625" style="92" bestFit="1" customWidth="1"/>
    <col min="13594" max="13597" width="11" style="92" customWidth="1"/>
    <col min="13598" max="13598" width="45.5703125" style="92" bestFit="1" customWidth="1"/>
    <col min="13599" max="13599" width="39.85546875" style="92" bestFit="1" customWidth="1"/>
    <col min="13600" max="13600" width="9.140625" style="92"/>
    <col min="13601" max="13601" width="45.5703125" style="92" bestFit="1" customWidth="1"/>
    <col min="13602" max="13602" width="9.140625" style="92"/>
    <col min="13603" max="13603" width="30.28515625" style="92" bestFit="1" customWidth="1"/>
    <col min="13604" max="13604" width="9.140625" style="92"/>
    <col min="13605" max="13605" width="40" style="92" bestFit="1" customWidth="1"/>
    <col min="13606" max="13607" width="0" style="92" hidden="1" customWidth="1"/>
    <col min="13608" max="13610" width="9.140625" style="92"/>
    <col min="13611" max="13612" width="0" style="92" hidden="1" customWidth="1"/>
    <col min="13613" max="13829" width="9.140625" style="92"/>
    <col min="13830" max="13830" width="37.42578125" style="92" bestFit="1" customWidth="1"/>
    <col min="13831" max="13832" width="0" style="92" hidden="1" customWidth="1"/>
    <col min="13833" max="13833" width="32.28515625" style="92" bestFit="1" customWidth="1"/>
    <col min="13834" max="13835" width="34.5703125" style="92" bestFit="1" customWidth="1"/>
    <col min="13836" max="13837" width="9.140625" style="92"/>
    <col min="13838" max="13838" width="22.28515625" style="92" bestFit="1" customWidth="1"/>
    <col min="13839" max="13839" width="9.140625" style="92"/>
    <col min="13840" max="13840" width="30.7109375" style="92" bestFit="1" customWidth="1"/>
    <col min="13841" max="13841" width="11" style="92" customWidth="1"/>
    <col min="13842" max="13842" width="9.140625" style="92"/>
    <col min="13843" max="13843" width="24.28515625" style="92" bestFit="1" customWidth="1"/>
    <col min="13844" max="13844" width="9.140625" style="92"/>
    <col min="13845" max="13846" width="11" style="92" customWidth="1"/>
    <col min="13847" max="13847" width="11.42578125" style="92" bestFit="1" customWidth="1"/>
    <col min="13848" max="13848" width="11.7109375" style="92" bestFit="1" customWidth="1"/>
    <col min="13849" max="13849" width="10.28515625" style="92" bestFit="1" customWidth="1"/>
    <col min="13850" max="13853" width="11" style="92" customWidth="1"/>
    <col min="13854" max="13854" width="45.5703125" style="92" bestFit="1" customWidth="1"/>
    <col min="13855" max="13855" width="39.85546875" style="92" bestFit="1" customWidth="1"/>
    <col min="13856" max="13856" width="9.140625" style="92"/>
    <col min="13857" max="13857" width="45.5703125" style="92" bestFit="1" customWidth="1"/>
    <col min="13858" max="13858" width="9.140625" style="92"/>
    <col min="13859" max="13859" width="30.28515625" style="92" bestFit="1" customWidth="1"/>
    <col min="13860" max="13860" width="9.140625" style="92"/>
    <col min="13861" max="13861" width="40" style="92" bestFit="1" customWidth="1"/>
    <col min="13862" max="13863" width="0" style="92" hidden="1" customWidth="1"/>
    <col min="13864" max="13866" width="9.140625" style="92"/>
    <col min="13867" max="13868" width="0" style="92" hidden="1" customWidth="1"/>
    <col min="13869" max="14085" width="9.140625" style="92"/>
    <col min="14086" max="14086" width="37.42578125" style="92" bestFit="1" customWidth="1"/>
    <col min="14087" max="14088" width="0" style="92" hidden="1" customWidth="1"/>
    <col min="14089" max="14089" width="32.28515625" style="92" bestFit="1" customWidth="1"/>
    <col min="14090" max="14091" width="34.5703125" style="92" bestFit="1" customWidth="1"/>
    <col min="14092" max="14093" width="9.140625" style="92"/>
    <col min="14094" max="14094" width="22.28515625" style="92" bestFit="1" customWidth="1"/>
    <col min="14095" max="14095" width="9.140625" style="92"/>
    <col min="14096" max="14096" width="30.7109375" style="92" bestFit="1" customWidth="1"/>
    <col min="14097" max="14097" width="11" style="92" customWidth="1"/>
    <col min="14098" max="14098" width="9.140625" style="92"/>
    <col min="14099" max="14099" width="24.28515625" style="92" bestFit="1" customWidth="1"/>
    <col min="14100" max="14100" width="9.140625" style="92"/>
    <col min="14101" max="14102" width="11" style="92" customWidth="1"/>
    <col min="14103" max="14103" width="11.42578125" style="92" bestFit="1" customWidth="1"/>
    <col min="14104" max="14104" width="11.7109375" style="92" bestFit="1" customWidth="1"/>
    <col min="14105" max="14105" width="10.28515625" style="92" bestFit="1" customWidth="1"/>
    <col min="14106" max="14109" width="11" style="92" customWidth="1"/>
    <col min="14110" max="14110" width="45.5703125" style="92" bestFit="1" customWidth="1"/>
    <col min="14111" max="14111" width="39.85546875" style="92" bestFit="1" customWidth="1"/>
    <col min="14112" max="14112" width="9.140625" style="92"/>
    <col min="14113" max="14113" width="45.5703125" style="92" bestFit="1" customWidth="1"/>
    <col min="14114" max="14114" width="9.140625" style="92"/>
    <col min="14115" max="14115" width="30.28515625" style="92" bestFit="1" customWidth="1"/>
    <col min="14116" max="14116" width="9.140625" style="92"/>
    <col min="14117" max="14117" width="40" style="92" bestFit="1" customWidth="1"/>
    <col min="14118" max="14119" width="0" style="92" hidden="1" customWidth="1"/>
    <col min="14120" max="14122" width="9.140625" style="92"/>
    <col min="14123" max="14124" width="0" style="92" hidden="1" customWidth="1"/>
    <col min="14125" max="14341" width="9.140625" style="92"/>
    <col min="14342" max="14342" width="37.42578125" style="92" bestFit="1" customWidth="1"/>
    <col min="14343" max="14344" width="0" style="92" hidden="1" customWidth="1"/>
    <col min="14345" max="14345" width="32.28515625" style="92" bestFit="1" customWidth="1"/>
    <col min="14346" max="14347" width="34.5703125" style="92" bestFit="1" customWidth="1"/>
    <col min="14348" max="14349" width="9.140625" style="92"/>
    <col min="14350" max="14350" width="22.28515625" style="92" bestFit="1" customWidth="1"/>
    <col min="14351" max="14351" width="9.140625" style="92"/>
    <col min="14352" max="14352" width="30.7109375" style="92" bestFit="1" customWidth="1"/>
    <col min="14353" max="14353" width="11" style="92" customWidth="1"/>
    <col min="14354" max="14354" width="9.140625" style="92"/>
    <col min="14355" max="14355" width="24.28515625" style="92" bestFit="1" customWidth="1"/>
    <col min="14356" max="14356" width="9.140625" style="92"/>
    <col min="14357" max="14358" width="11" style="92" customWidth="1"/>
    <col min="14359" max="14359" width="11.42578125" style="92" bestFit="1" customWidth="1"/>
    <col min="14360" max="14360" width="11.7109375" style="92" bestFit="1" customWidth="1"/>
    <col min="14361" max="14361" width="10.28515625" style="92" bestFit="1" customWidth="1"/>
    <col min="14362" max="14365" width="11" style="92" customWidth="1"/>
    <col min="14366" max="14366" width="45.5703125" style="92" bestFit="1" customWidth="1"/>
    <col min="14367" max="14367" width="39.85546875" style="92" bestFit="1" customWidth="1"/>
    <col min="14368" max="14368" width="9.140625" style="92"/>
    <col min="14369" max="14369" width="45.5703125" style="92" bestFit="1" customWidth="1"/>
    <col min="14370" max="14370" width="9.140625" style="92"/>
    <col min="14371" max="14371" width="30.28515625" style="92" bestFit="1" customWidth="1"/>
    <col min="14372" max="14372" width="9.140625" style="92"/>
    <col min="14373" max="14373" width="40" style="92" bestFit="1" customWidth="1"/>
    <col min="14374" max="14375" width="0" style="92" hidden="1" customWidth="1"/>
    <col min="14376" max="14378" width="9.140625" style="92"/>
    <col min="14379" max="14380" width="0" style="92" hidden="1" customWidth="1"/>
    <col min="14381" max="14597" width="9.140625" style="92"/>
    <col min="14598" max="14598" width="37.42578125" style="92" bestFit="1" customWidth="1"/>
    <col min="14599" max="14600" width="0" style="92" hidden="1" customWidth="1"/>
    <col min="14601" max="14601" width="32.28515625" style="92" bestFit="1" customWidth="1"/>
    <col min="14602" max="14603" width="34.5703125" style="92" bestFit="1" customWidth="1"/>
    <col min="14604" max="14605" width="9.140625" style="92"/>
    <col min="14606" max="14606" width="22.28515625" style="92" bestFit="1" customWidth="1"/>
    <col min="14607" max="14607" width="9.140625" style="92"/>
    <col min="14608" max="14608" width="30.7109375" style="92" bestFit="1" customWidth="1"/>
    <col min="14609" max="14609" width="11" style="92" customWidth="1"/>
    <col min="14610" max="14610" width="9.140625" style="92"/>
    <col min="14611" max="14611" width="24.28515625" style="92" bestFit="1" customWidth="1"/>
    <col min="14612" max="14612" width="9.140625" style="92"/>
    <col min="14613" max="14614" width="11" style="92" customWidth="1"/>
    <col min="14615" max="14615" width="11.42578125" style="92" bestFit="1" customWidth="1"/>
    <col min="14616" max="14616" width="11.7109375" style="92" bestFit="1" customWidth="1"/>
    <col min="14617" max="14617" width="10.28515625" style="92" bestFit="1" customWidth="1"/>
    <col min="14618" max="14621" width="11" style="92" customWidth="1"/>
    <col min="14622" max="14622" width="45.5703125" style="92" bestFit="1" customWidth="1"/>
    <col min="14623" max="14623" width="39.85546875" style="92" bestFit="1" customWidth="1"/>
    <col min="14624" max="14624" width="9.140625" style="92"/>
    <col min="14625" max="14625" width="45.5703125" style="92" bestFit="1" customWidth="1"/>
    <col min="14626" max="14626" width="9.140625" style="92"/>
    <col min="14627" max="14627" width="30.28515625" style="92" bestFit="1" customWidth="1"/>
    <col min="14628" max="14628" width="9.140625" style="92"/>
    <col min="14629" max="14629" width="40" style="92" bestFit="1" customWidth="1"/>
    <col min="14630" max="14631" width="0" style="92" hidden="1" customWidth="1"/>
    <col min="14632" max="14634" width="9.140625" style="92"/>
    <col min="14635" max="14636" width="0" style="92" hidden="1" customWidth="1"/>
    <col min="14637" max="14853" width="9.140625" style="92"/>
    <col min="14854" max="14854" width="37.42578125" style="92" bestFit="1" customWidth="1"/>
    <col min="14855" max="14856" width="0" style="92" hidden="1" customWidth="1"/>
    <col min="14857" max="14857" width="32.28515625" style="92" bestFit="1" customWidth="1"/>
    <col min="14858" max="14859" width="34.5703125" style="92" bestFit="1" customWidth="1"/>
    <col min="14860" max="14861" width="9.140625" style="92"/>
    <col min="14862" max="14862" width="22.28515625" style="92" bestFit="1" customWidth="1"/>
    <col min="14863" max="14863" width="9.140625" style="92"/>
    <col min="14864" max="14864" width="30.7109375" style="92" bestFit="1" customWidth="1"/>
    <col min="14865" max="14865" width="11" style="92" customWidth="1"/>
    <col min="14866" max="14866" width="9.140625" style="92"/>
    <col min="14867" max="14867" width="24.28515625" style="92" bestFit="1" customWidth="1"/>
    <col min="14868" max="14868" width="9.140625" style="92"/>
    <col min="14869" max="14870" width="11" style="92" customWidth="1"/>
    <col min="14871" max="14871" width="11.42578125" style="92" bestFit="1" customWidth="1"/>
    <col min="14872" max="14872" width="11.7109375" style="92" bestFit="1" customWidth="1"/>
    <col min="14873" max="14873" width="10.28515625" style="92" bestFit="1" customWidth="1"/>
    <col min="14874" max="14877" width="11" style="92" customWidth="1"/>
    <col min="14878" max="14878" width="45.5703125" style="92" bestFit="1" customWidth="1"/>
    <col min="14879" max="14879" width="39.85546875" style="92" bestFit="1" customWidth="1"/>
    <col min="14880" max="14880" width="9.140625" style="92"/>
    <col min="14881" max="14881" width="45.5703125" style="92" bestFit="1" customWidth="1"/>
    <col min="14882" max="14882" width="9.140625" style="92"/>
    <col min="14883" max="14883" width="30.28515625" style="92" bestFit="1" customWidth="1"/>
    <col min="14884" max="14884" width="9.140625" style="92"/>
    <col min="14885" max="14885" width="40" style="92" bestFit="1" customWidth="1"/>
    <col min="14886" max="14887" width="0" style="92" hidden="1" customWidth="1"/>
    <col min="14888" max="14890" width="9.140625" style="92"/>
    <col min="14891" max="14892" width="0" style="92" hidden="1" customWidth="1"/>
    <col min="14893" max="15109" width="9.140625" style="92"/>
    <col min="15110" max="15110" width="37.42578125" style="92" bestFit="1" customWidth="1"/>
    <col min="15111" max="15112" width="0" style="92" hidden="1" customWidth="1"/>
    <col min="15113" max="15113" width="32.28515625" style="92" bestFit="1" customWidth="1"/>
    <col min="15114" max="15115" width="34.5703125" style="92" bestFit="1" customWidth="1"/>
    <col min="15116" max="15117" width="9.140625" style="92"/>
    <col min="15118" max="15118" width="22.28515625" style="92" bestFit="1" customWidth="1"/>
    <col min="15119" max="15119" width="9.140625" style="92"/>
    <col min="15120" max="15120" width="30.7109375" style="92" bestFit="1" customWidth="1"/>
    <col min="15121" max="15121" width="11" style="92" customWidth="1"/>
    <col min="15122" max="15122" width="9.140625" style="92"/>
    <col min="15123" max="15123" width="24.28515625" style="92" bestFit="1" customWidth="1"/>
    <col min="15124" max="15124" width="9.140625" style="92"/>
    <col min="15125" max="15126" width="11" style="92" customWidth="1"/>
    <col min="15127" max="15127" width="11.42578125" style="92" bestFit="1" customWidth="1"/>
    <col min="15128" max="15128" width="11.7109375" style="92" bestFit="1" customWidth="1"/>
    <col min="15129" max="15129" width="10.28515625" style="92" bestFit="1" customWidth="1"/>
    <col min="15130" max="15133" width="11" style="92" customWidth="1"/>
    <col min="15134" max="15134" width="45.5703125" style="92" bestFit="1" customWidth="1"/>
    <col min="15135" max="15135" width="39.85546875" style="92" bestFit="1" customWidth="1"/>
    <col min="15136" max="15136" width="9.140625" style="92"/>
    <col min="15137" max="15137" width="45.5703125" style="92" bestFit="1" customWidth="1"/>
    <col min="15138" max="15138" width="9.140625" style="92"/>
    <col min="15139" max="15139" width="30.28515625" style="92" bestFit="1" customWidth="1"/>
    <col min="15140" max="15140" width="9.140625" style="92"/>
    <col min="15141" max="15141" width="40" style="92" bestFit="1" customWidth="1"/>
    <col min="15142" max="15143" width="0" style="92" hidden="1" customWidth="1"/>
    <col min="15144" max="15146" width="9.140625" style="92"/>
    <col min="15147" max="15148" width="0" style="92" hidden="1" customWidth="1"/>
    <col min="15149" max="15365" width="9.140625" style="92"/>
    <col min="15366" max="15366" width="37.42578125" style="92" bestFit="1" customWidth="1"/>
    <col min="15367" max="15368" width="0" style="92" hidden="1" customWidth="1"/>
    <col min="15369" max="15369" width="32.28515625" style="92" bestFit="1" customWidth="1"/>
    <col min="15370" max="15371" width="34.5703125" style="92" bestFit="1" customWidth="1"/>
    <col min="15372" max="15373" width="9.140625" style="92"/>
    <col min="15374" max="15374" width="22.28515625" style="92" bestFit="1" customWidth="1"/>
    <col min="15375" max="15375" width="9.140625" style="92"/>
    <col min="15376" max="15376" width="30.7109375" style="92" bestFit="1" customWidth="1"/>
    <col min="15377" max="15377" width="11" style="92" customWidth="1"/>
    <col min="15378" max="15378" width="9.140625" style="92"/>
    <col min="15379" max="15379" width="24.28515625" style="92" bestFit="1" customWidth="1"/>
    <col min="15380" max="15380" width="9.140625" style="92"/>
    <col min="15381" max="15382" width="11" style="92" customWidth="1"/>
    <col min="15383" max="15383" width="11.42578125" style="92" bestFit="1" customWidth="1"/>
    <col min="15384" max="15384" width="11.7109375" style="92" bestFit="1" customWidth="1"/>
    <col min="15385" max="15385" width="10.28515625" style="92" bestFit="1" customWidth="1"/>
    <col min="15386" max="15389" width="11" style="92" customWidth="1"/>
    <col min="15390" max="15390" width="45.5703125" style="92" bestFit="1" customWidth="1"/>
    <col min="15391" max="15391" width="39.85546875" style="92" bestFit="1" customWidth="1"/>
    <col min="15392" max="15392" width="9.140625" style="92"/>
    <col min="15393" max="15393" width="45.5703125" style="92" bestFit="1" customWidth="1"/>
    <col min="15394" max="15394" width="9.140625" style="92"/>
    <col min="15395" max="15395" width="30.28515625" style="92" bestFit="1" customWidth="1"/>
    <col min="15396" max="15396" width="9.140625" style="92"/>
    <col min="15397" max="15397" width="40" style="92" bestFit="1" customWidth="1"/>
    <col min="15398" max="15399" width="0" style="92" hidden="1" customWidth="1"/>
    <col min="15400" max="15402" width="9.140625" style="92"/>
    <col min="15403" max="15404" width="0" style="92" hidden="1" customWidth="1"/>
    <col min="15405" max="15621" width="9.140625" style="92"/>
    <col min="15622" max="15622" width="37.42578125" style="92" bestFit="1" customWidth="1"/>
    <col min="15623" max="15624" width="0" style="92" hidden="1" customWidth="1"/>
    <col min="15625" max="15625" width="32.28515625" style="92" bestFit="1" customWidth="1"/>
    <col min="15626" max="15627" width="34.5703125" style="92" bestFit="1" customWidth="1"/>
    <col min="15628" max="15629" width="9.140625" style="92"/>
    <col min="15630" max="15630" width="22.28515625" style="92" bestFit="1" customWidth="1"/>
    <col min="15631" max="15631" width="9.140625" style="92"/>
    <col min="15632" max="15632" width="30.7109375" style="92" bestFit="1" customWidth="1"/>
    <col min="15633" max="15633" width="11" style="92" customWidth="1"/>
    <col min="15634" max="15634" width="9.140625" style="92"/>
    <col min="15635" max="15635" width="24.28515625" style="92" bestFit="1" customWidth="1"/>
    <col min="15636" max="15636" width="9.140625" style="92"/>
    <col min="15637" max="15638" width="11" style="92" customWidth="1"/>
    <col min="15639" max="15639" width="11.42578125" style="92" bestFit="1" customWidth="1"/>
    <col min="15640" max="15640" width="11.7109375" style="92" bestFit="1" customWidth="1"/>
    <col min="15641" max="15641" width="10.28515625" style="92" bestFit="1" customWidth="1"/>
    <col min="15642" max="15645" width="11" style="92" customWidth="1"/>
    <col min="15646" max="15646" width="45.5703125" style="92" bestFit="1" customWidth="1"/>
    <col min="15647" max="15647" width="39.85546875" style="92" bestFit="1" customWidth="1"/>
    <col min="15648" max="15648" width="9.140625" style="92"/>
    <col min="15649" max="15649" width="45.5703125" style="92" bestFit="1" customWidth="1"/>
    <col min="15650" max="15650" width="9.140625" style="92"/>
    <col min="15651" max="15651" width="30.28515625" style="92" bestFit="1" customWidth="1"/>
    <col min="15652" max="15652" width="9.140625" style="92"/>
    <col min="15653" max="15653" width="40" style="92" bestFit="1" customWidth="1"/>
    <col min="15654" max="15655" width="0" style="92" hidden="1" customWidth="1"/>
    <col min="15656" max="15658" width="9.140625" style="92"/>
    <col min="15659" max="15660" width="0" style="92" hidden="1" customWidth="1"/>
    <col min="15661" max="15877" width="9.140625" style="92"/>
    <col min="15878" max="15878" width="37.42578125" style="92" bestFit="1" customWidth="1"/>
    <col min="15879" max="15880" width="0" style="92" hidden="1" customWidth="1"/>
    <col min="15881" max="15881" width="32.28515625" style="92" bestFit="1" customWidth="1"/>
    <col min="15882" max="15883" width="34.5703125" style="92" bestFit="1" customWidth="1"/>
    <col min="15884" max="15885" width="9.140625" style="92"/>
    <col min="15886" max="15886" width="22.28515625" style="92" bestFit="1" customWidth="1"/>
    <col min="15887" max="15887" width="9.140625" style="92"/>
    <col min="15888" max="15888" width="30.7109375" style="92" bestFit="1" customWidth="1"/>
    <col min="15889" max="15889" width="11" style="92" customWidth="1"/>
    <col min="15890" max="15890" width="9.140625" style="92"/>
    <col min="15891" max="15891" width="24.28515625" style="92" bestFit="1" customWidth="1"/>
    <col min="15892" max="15892" width="9.140625" style="92"/>
    <col min="15893" max="15894" width="11" style="92" customWidth="1"/>
    <col min="15895" max="15895" width="11.42578125" style="92" bestFit="1" customWidth="1"/>
    <col min="15896" max="15896" width="11.7109375" style="92" bestFit="1" customWidth="1"/>
    <col min="15897" max="15897" width="10.28515625" style="92" bestFit="1" customWidth="1"/>
    <col min="15898" max="15901" width="11" style="92" customWidth="1"/>
    <col min="15902" max="15902" width="45.5703125" style="92" bestFit="1" customWidth="1"/>
    <col min="15903" max="15903" width="39.85546875" style="92" bestFit="1" customWidth="1"/>
    <col min="15904" max="15904" width="9.140625" style="92"/>
    <col min="15905" max="15905" width="45.5703125" style="92" bestFit="1" customWidth="1"/>
    <col min="15906" max="15906" width="9.140625" style="92"/>
    <col min="15907" max="15907" width="30.28515625" style="92" bestFit="1" customWidth="1"/>
    <col min="15908" max="15908" width="9.140625" style="92"/>
    <col min="15909" max="15909" width="40" style="92" bestFit="1" customWidth="1"/>
    <col min="15910" max="15911" width="0" style="92" hidden="1" customWidth="1"/>
    <col min="15912" max="15914" width="9.140625" style="92"/>
    <col min="15915" max="15916" width="0" style="92" hidden="1" customWidth="1"/>
    <col min="15917" max="16133" width="9.140625" style="92"/>
    <col min="16134" max="16134" width="37.42578125" style="92" bestFit="1" customWidth="1"/>
    <col min="16135" max="16136" width="0" style="92" hidden="1" customWidth="1"/>
    <col min="16137" max="16137" width="32.28515625" style="92" bestFit="1" customWidth="1"/>
    <col min="16138" max="16139" width="34.5703125" style="92" bestFit="1" customWidth="1"/>
    <col min="16140" max="16141" width="9.140625" style="92"/>
    <col min="16142" max="16142" width="22.28515625" style="92" bestFit="1" customWidth="1"/>
    <col min="16143" max="16143" width="9.140625" style="92"/>
    <col min="16144" max="16144" width="30.7109375" style="92" bestFit="1" customWidth="1"/>
    <col min="16145" max="16145" width="11" style="92" customWidth="1"/>
    <col min="16146" max="16146" width="9.140625" style="92"/>
    <col min="16147" max="16147" width="24.28515625" style="92" bestFit="1" customWidth="1"/>
    <col min="16148" max="16148" width="9.140625" style="92"/>
    <col min="16149" max="16150" width="11" style="92" customWidth="1"/>
    <col min="16151" max="16151" width="11.42578125" style="92" bestFit="1" customWidth="1"/>
    <col min="16152" max="16152" width="11.7109375" style="92" bestFit="1" customWidth="1"/>
    <col min="16153" max="16153" width="10.28515625" style="92" bestFit="1" customWidth="1"/>
    <col min="16154" max="16157" width="11" style="92" customWidth="1"/>
    <col min="16158" max="16158" width="45.5703125" style="92" bestFit="1" customWidth="1"/>
    <col min="16159" max="16159" width="39.85546875" style="92" bestFit="1" customWidth="1"/>
    <col min="16160" max="16160" width="9.140625" style="92"/>
    <col min="16161" max="16161" width="45.5703125" style="92" bestFit="1" customWidth="1"/>
    <col min="16162" max="16162" width="9.140625" style="92"/>
    <col min="16163" max="16163" width="30.28515625" style="92" bestFit="1" customWidth="1"/>
    <col min="16164" max="16164" width="9.140625" style="92"/>
    <col min="16165" max="16165" width="40" style="92" bestFit="1" customWidth="1"/>
    <col min="16166" max="16167" width="0" style="92" hidden="1" customWidth="1"/>
    <col min="16168" max="16170" width="9.140625" style="92"/>
    <col min="16171" max="16172" width="0" style="92" hidden="1" customWidth="1"/>
    <col min="16173" max="16384" width="9.140625" style="92"/>
  </cols>
  <sheetData>
    <row r="1" spans="1:106" x14ac:dyDescent="0.2">
      <c r="B1" s="92" t="s">
        <v>147</v>
      </c>
      <c r="Y1" s="92" t="s">
        <v>148</v>
      </c>
      <c r="Z1" s="92" t="s">
        <v>149</v>
      </c>
      <c r="AB1" s="92" t="s">
        <v>150</v>
      </c>
      <c r="AD1" s="92" t="s">
        <v>151</v>
      </c>
      <c r="AF1" s="92" t="s">
        <v>152</v>
      </c>
      <c r="AG1" s="92" t="s">
        <v>153</v>
      </c>
      <c r="AH1" s="92" t="s">
        <v>154</v>
      </c>
      <c r="AJ1" s="92" t="s">
        <v>155</v>
      </c>
      <c r="AO1" s="92" t="s">
        <v>1</v>
      </c>
      <c r="AQ1" s="92" t="s">
        <v>5</v>
      </c>
      <c r="AS1" s="92" t="s">
        <v>6</v>
      </c>
      <c r="AU1" s="92" t="s">
        <v>7</v>
      </c>
      <c r="AW1" s="92" t="s">
        <v>9</v>
      </c>
      <c r="AX1" s="27"/>
      <c r="AY1" s="92" t="s">
        <v>10</v>
      </c>
      <c r="AZ1" s="27"/>
      <c r="BA1" s="27" t="s">
        <v>99</v>
      </c>
      <c r="BB1" s="10"/>
      <c r="BC1" s="11" t="s">
        <v>156</v>
      </c>
      <c r="BD1" s="11"/>
      <c r="BE1" s="11" t="s">
        <v>16</v>
      </c>
      <c r="BF1" s="11"/>
      <c r="BG1" s="11" t="s">
        <v>3</v>
      </c>
      <c r="BH1" s="27"/>
      <c r="BI1" s="27" t="s">
        <v>35</v>
      </c>
      <c r="BJ1" s="27"/>
      <c r="BK1" s="27" t="s">
        <v>37</v>
      </c>
      <c r="BL1" s="27"/>
      <c r="BM1" s="27" t="s">
        <v>38</v>
      </c>
      <c r="BN1" s="27"/>
      <c r="BO1" s="27" t="s">
        <v>39</v>
      </c>
      <c r="BP1" s="27"/>
      <c r="BQ1" s="27" t="s">
        <v>55</v>
      </c>
      <c r="BR1" s="27"/>
      <c r="BS1" s="27" t="s">
        <v>63</v>
      </c>
      <c r="BT1" s="27"/>
      <c r="BU1" s="27" t="s">
        <v>48</v>
      </c>
      <c r="BV1" s="27"/>
      <c r="BW1" s="27" t="s">
        <v>49</v>
      </c>
      <c r="BX1" s="27"/>
      <c r="BY1" s="103" t="s">
        <v>4519</v>
      </c>
      <c r="BZ1" s="27"/>
      <c r="CA1" s="27"/>
      <c r="CB1" s="27"/>
      <c r="CC1" s="27"/>
      <c r="CD1" s="27"/>
      <c r="CE1" s="27"/>
      <c r="CF1" s="27"/>
      <c r="CG1" s="27"/>
      <c r="CH1" s="27"/>
      <c r="CI1" s="27"/>
      <c r="CJ1" s="27"/>
      <c r="CK1" s="27"/>
      <c r="CL1" s="27"/>
      <c r="CM1" s="27"/>
      <c r="CN1" s="27"/>
      <c r="CO1" s="27"/>
    </row>
    <row r="2" spans="1:106" ht="15.75" thickBot="1" x14ac:dyDescent="0.25">
      <c r="A2" s="94" t="s">
        <v>157</v>
      </c>
      <c r="B2" s="94" t="s">
        <v>157</v>
      </c>
      <c r="C2" s="94" t="s">
        <v>158</v>
      </c>
      <c r="D2" s="95" t="s">
        <v>159</v>
      </c>
      <c r="E2" s="94" t="s">
        <v>160</v>
      </c>
      <c r="F2" s="94" t="s">
        <v>160</v>
      </c>
      <c r="H2" s="96"/>
      <c r="I2" s="97" t="s">
        <v>161</v>
      </c>
      <c r="K2" s="98" t="s">
        <v>162</v>
      </c>
      <c r="L2" s="99" t="s">
        <v>163</v>
      </c>
      <c r="N2" s="100" t="s">
        <v>164</v>
      </c>
      <c r="P2" s="92" t="s">
        <v>165</v>
      </c>
      <c r="R2" s="101" t="s">
        <v>166</v>
      </c>
      <c r="S2" s="101" t="s">
        <v>167</v>
      </c>
      <c r="T2" s="101" t="s">
        <v>168</v>
      </c>
      <c r="U2" s="101" t="s">
        <v>169</v>
      </c>
      <c r="V2" s="101" t="s">
        <v>170</v>
      </c>
      <c r="W2" s="101" t="s">
        <v>171</v>
      </c>
      <c r="X2" s="28"/>
      <c r="Y2" s="102" t="s">
        <v>172</v>
      </c>
      <c r="Z2" s="102" t="s">
        <v>173</v>
      </c>
      <c r="AB2" s="102" t="s">
        <v>172</v>
      </c>
      <c r="AD2" s="92" t="s">
        <v>174</v>
      </c>
      <c r="AF2" s="92" t="str">
        <f>CONCATENATE(AG2," - ",AH2)</f>
        <v xml:space="preserve">F1HCT - FAB WVN 100% CT                         </v>
      </c>
      <c r="AG2" s="92" t="s">
        <v>175</v>
      </c>
      <c r="AH2" s="92" t="s">
        <v>176</v>
      </c>
      <c r="AJ2" s="92" t="s">
        <v>4037</v>
      </c>
      <c r="AL2" s="93" t="s">
        <v>177</v>
      </c>
      <c r="AM2" s="92" t="s">
        <v>178</v>
      </c>
      <c r="AO2" s="92" t="s">
        <v>179</v>
      </c>
      <c r="AQ2" s="28" t="s">
        <v>180</v>
      </c>
      <c r="AR2" s="27"/>
      <c r="AS2" s="92" t="s">
        <v>181</v>
      </c>
      <c r="AT2" s="27"/>
      <c r="AU2" s="92" t="s">
        <v>182</v>
      </c>
      <c r="AV2" s="27"/>
      <c r="AW2" s="103" t="s">
        <v>183</v>
      </c>
      <c r="AX2" s="27"/>
      <c r="AY2" s="92" t="s">
        <v>184</v>
      </c>
      <c r="BA2" s="11" t="s">
        <v>185</v>
      </c>
      <c r="BC2" s="11" t="s">
        <v>186</v>
      </c>
      <c r="BD2" s="11"/>
      <c r="BE2" s="11" t="s">
        <v>187</v>
      </c>
      <c r="BG2" s="28" t="s">
        <v>188</v>
      </c>
      <c r="BH2" s="27"/>
      <c r="BI2" s="92" t="s">
        <v>189</v>
      </c>
      <c r="BJ2" s="27"/>
      <c r="BK2" s="103" t="s">
        <v>190</v>
      </c>
      <c r="BL2" s="27"/>
      <c r="BM2" s="103" t="s">
        <v>191</v>
      </c>
      <c r="BN2" s="27"/>
      <c r="BO2" s="92" t="s">
        <v>222</v>
      </c>
      <c r="BP2" s="27"/>
      <c r="BQ2" s="104" t="s">
        <v>192</v>
      </c>
      <c r="BR2" s="27"/>
      <c r="BS2" s="104" t="s">
        <v>193</v>
      </c>
      <c r="BT2" s="27"/>
      <c r="BU2" s="27" t="s">
        <v>50</v>
      </c>
      <c r="BW2" s="27" t="s">
        <v>51</v>
      </c>
      <c r="BX2" s="27"/>
      <c r="BY2" s="123" t="s">
        <v>4520</v>
      </c>
      <c r="BZ2" s="122"/>
      <c r="CA2" s="122"/>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10"/>
    </row>
    <row r="3" spans="1:106" x14ac:dyDescent="0.2">
      <c r="A3" s="105" t="s">
        <v>194</v>
      </c>
      <c r="B3" s="98" t="s">
        <v>195</v>
      </c>
      <c r="C3" s="99" t="s">
        <v>196</v>
      </c>
      <c r="D3" s="106" t="s">
        <v>197</v>
      </c>
      <c r="E3" s="105" t="s">
        <v>198</v>
      </c>
      <c r="F3" s="105" t="s">
        <v>198</v>
      </c>
      <c r="G3" s="107"/>
      <c r="H3" s="96"/>
      <c r="I3" s="108" t="s">
        <v>199</v>
      </c>
      <c r="K3" s="109" t="s">
        <v>200</v>
      </c>
      <c r="L3" s="110" t="s">
        <v>201</v>
      </c>
      <c r="N3" s="100"/>
      <c r="R3" s="111"/>
      <c r="S3" s="112" t="s">
        <v>202</v>
      </c>
      <c r="T3" s="111"/>
      <c r="U3" s="111"/>
      <c r="V3" s="111"/>
      <c r="W3" s="111"/>
      <c r="X3" s="28"/>
      <c r="Y3" s="102" t="s">
        <v>203</v>
      </c>
      <c r="Z3" s="102" t="s">
        <v>204</v>
      </c>
      <c r="AB3" s="102" t="s">
        <v>203</v>
      </c>
      <c r="AD3" s="92" t="s">
        <v>205</v>
      </c>
      <c r="AF3" s="92" t="str">
        <f t="shared" ref="AF3:AF43" si="0">CONCATENATE(AG3," - ",AH3)</f>
        <v xml:space="preserve">F1PC1 - FAB WVN 65% POLYSTER 35% CT             </v>
      </c>
      <c r="AG3" s="92" t="s">
        <v>206</v>
      </c>
      <c r="AH3" s="92" t="s">
        <v>207</v>
      </c>
      <c r="AJ3" s="92" t="s">
        <v>4038</v>
      </c>
      <c r="AL3" s="93" t="s">
        <v>208</v>
      </c>
      <c r="AM3" s="92" t="s">
        <v>209</v>
      </c>
      <c r="AO3" s="92" t="s">
        <v>210</v>
      </c>
      <c r="AQ3" s="92" t="s">
        <v>211</v>
      </c>
      <c r="AS3" s="27" t="s">
        <v>212</v>
      </c>
      <c r="AU3" s="92" t="s">
        <v>213</v>
      </c>
      <c r="AW3" s="27" t="s">
        <v>214</v>
      </c>
      <c r="AY3" s="103" t="s">
        <v>215</v>
      </c>
      <c r="BA3" s="11" t="s">
        <v>216</v>
      </c>
      <c r="BC3" s="11" t="s">
        <v>4456</v>
      </c>
      <c r="BD3" s="11"/>
      <c r="BE3" s="11" t="s">
        <v>218</v>
      </c>
      <c r="BG3" s="28" t="s">
        <v>219</v>
      </c>
      <c r="BI3" s="103" t="s">
        <v>220</v>
      </c>
      <c r="BK3" s="103" t="s">
        <v>193</v>
      </c>
      <c r="BM3" s="103" t="s">
        <v>221</v>
      </c>
      <c r="BO3" s="92" t="s">
        <v>309</v>
      </c>
      <c r="BP3" s="27"/>
      <c r="BQ3" s="92" t="s">
        <v>223</v>
      </c>
      <c r="BS3" s="104" t="s">
        <v>224</v>
      </c>
      <c r="BU3" s="92" t="s">
        <v>52</v>
      </c>
      <c r="BW3" s="92" t="s">
        <v>53</v>
      </c>
      <c r="BY3" s="92" t="s">
        <v>4521</v>
      </c>
    </row>
    <row r="4" spans="1:106" x14ac:dyDescent="0.2">
      <c r="A4" s="105" t="s">
        <v>225</v>
      </c>
      <c r="B4" s="109" t="s">
        <v>226</v>
      </c>
      <c r="C4" s="110" t="s">
        <v>227</v>
      </c>
      <c r="D4" s="106" t="s">
        <v>228</v>
      </c>
      <c r="E4" s="105" t="s">
        <v>229</v>
      </c>
      <c r="F4" s="105" t="s">
        <v>229</v>
      </c>
      <c r="G4" s="107"/>
      <c r="H4" s="96"/>
      <c r="I4" s="105" t="s">
        <v>230</v>
      </c>
      <c r="K4" s="113" t="s">
        <v>231</v>
      </c>
      <c r="L4" s="114" t="s">
        <v>232</v>
      </c>
      <c r="N4" s="92" t="s">
        <v>233</v>
      </c>
      <c r="P4" s="92" t="s">
        <v>234</v>
      </c>
      <c r="R4" s="115" t="s">
        <v>235</v>
      </c>
      <c r="S4" s="116" t="s">
        <v>236</v>
      </c>
      <c r="T4" s="111" t="s">
        <v>237</v>
      </c>
      <c r="U4" s="117" t="s">
        <v>237</v>
      </c>
      <c r="V4" s="117" t="s">
        <v>237</v>
      </c>
      <c r="W4" s="117" t="s">
        <v>237</v>
      </c>
      <c r="X4" s="28"/>
      <c r="Y4" s="102" t="s">
        <v>238</v>
      </c>
      <c r="Z4" s="102" t="s">
        <v>239</v>
      </c>
      <c r="AB4" s="102" t="s">
        <v>238</v>
      </c>
      <c r="AD4" s="92" t="s">
        <v>240</v>
      </c>
      <c r="AF4" s="92" t="str">
        <f t="shared" si="0"/>
        <v xml:space="preserve">F2CE1 - FAB WFT KNT 96%CT 4% ELS                </v>
      </c>
      <c r="AG4" s="92" t="s">
        <v>241</v>
      </c>
      <c r="AH4" s="92" t="s">
        <v>242</v>
      </c>
      <c r="AJ4" s="92" t="s">
        <v>4039</v>
      </c>
      <c r="AL4" s="93" t="s">
        <v>243</v>
      </c>
      <c r="AM4" s="92" t="s">
        <v>244</v>
      </c>
      <c r="AS4" s="92" t="s">
        <v>245</v>
      </c>
      <c r="AU4" s="92" t="s">
        <v>246</v>
      </c>
      <c r="AW4" s="27" t="s">
        <v>282</v>
      </c>
      <c r="AY4" s="92" t="s">
        <v>248</v>
      </c>
      <c r="BA4" s="11" t="s">
        <v>249</v>
      </c>
      <c r="BC4" s="11" t="s">
        <v>4457</v>
      </c>
      <c r="BD4" s="11"/>
      <c r="BE4" s="11"/>
      <c r="BG4" s="28" t="s">
        <v>251</v>
      </c>
      <c r="BI4" s="103" t="s">
        <v>252</v>
      </c>
      <c r="BK4" s="103" t="s">
        <v>224</v>
      </c>
      <c r="BM4" s="103" t="s">
        <v>253</v>
      </c>
      <c r="BO4" s="92" t="s">
        <v>336</v>
      </c>
      <c r="BP4" s="27"/>
      <c r="BQ4" s="92" t="s">
        <v>4528</v>
      </c>
      <c r="BS4" s="104" t="s">
        <v>255</v>
      </c>
      <c r="BU4" s="92" t="s">
        <v>4033</v>
      </c>
      <c r="BY4" s="92" t="s">
        <v>4522</v>
      </c>
    </row>
    <row r="5" spans="1:106" x14ac:dyDescent="0.2">
      <c r="A5" s="105" t="s">
        <v>256</v>
      </c>
      <c r="B5" s="109" t="s">
        <v>257</v>
      </c>
      <c r="C5" s="110" t="s">
        <v>258</v>
      </c>
      <c r="D5" s="106" t="s">
        <v>259</v>
      </c>
      <c r="E5" s="105" t="s">
        <v>260</v>
      </c>
      <c r="F5" s="105" t="s">
        <v>260</v>
      </c>
      <c r="G5" s="107"/>
      <c r="H5" s="96"/>
      <c r="I5" s="118" t="s">
        <v>261</v>
      </c>
      <c r="N5" s="92" t="s">
        <v>262</v>
      </c>
      <c r="P5" s="92" t="s">
        <v>263</v>
      </c>
      <c r="S5" s="116" t="s">
        <v>264</v>
      </c>
      <c r="T5" s="117" t="s">
        <v>265</v>
      </c>
      <c r="Y5" s="102" t="s">
        <v>238</v>
      </c>
      <c r="Z5" s="102" t="s">
        <v>266</v>
      </c>
      <c r="AB5" s="102" t="s">
        <v>267</v>
      </c>
      <c r="AD5" s="92" t="s">
        <v>268</v>
      </c>
      <c r="AF5" s="92" t="str">
        <f t="shared" si="0"/>
        <v xml:space="preserve">F2CL1 - FABIRC WFT KNT 93/7% COTTTON/LYC        </v>
      </c>
      <c r="AG5" s="92" t="s">
        <v>269</v>
      </c>
      <c r="AH5" s="92" t="s">
        <v>270</v>
      </c>
      <c r="AJ5" s="92" t="s">
        <v>4040</v>
      </c>
      <c r="AL5" s="93" t="s">
        <v>271</v>
      </c>
      <c r="AM5" s="92" t="s">
        <v>272</v>
      </c>
      <c r="AS5" s="92" t="s">
        <v>273</v>
      </c>
      <c r="AU5" s="92" t="s">
        <v>274</v>
      </c>
      <c r="AW5" s="103" t="s">
        <v>247</v>
      </c>
      <c r="AY5" s="92" t="s">
        <v>276</v>
      </c>
      <c r="BA5" s="11" t="s">
        <v>277</v>
      </c>
      <c r="BC5" s="11" t="s">
        <v>4458</v>
      </c>
      <c r="BD5" s="11"/>
      <c r="BE5" s="11"/>
      <c r="BG5" s="28" t="s">
        <v>279</v>
      </c>
      <c r="BI5" s="92" t="s">
        <v>280</v>
      </c>
      <c r="BK5" s="103" t="s">
        <v>255</v>
      </c>
      <c r="BM5" s="103" t="s">
        <v>281</v>
      </c>
      <c r="BO5" s="92" t="s">
        <v>362</v>
      </c>
      <c r="BP5" s="27"/>
      <c r="BQ5" s="104" t="s">
        <v>254</v>
      </c>
      <c r="BS5" s="104" t="s">
        <v>284</v>
      </c>
      <c r="BU5" s="92" t="s">
        <v>4034</v>
      </c>
    </row>
    <row r="6" spans="1:106" x14ac:dyDescent="0.2">
      <c r="A6" s="105" t="s">
        <v>285</v>
      </c>
      <c r="B6" s="109" t="s">
        <v>286</v>
      </c>
      <c r="C6" s="110" t="s">
        <v>287</v>
      </c>
      <c r="D6" s="106" t="s">
        <v>288</v>
      </c>
      <c r="E6" s="105" t="s">
        <v>289</v>
      </c>
      <c r="F6" s="105" t="s">
        <v>289</v>
      </c>
      <c r="G6" s="107"/>
      <c r="H6" s="96"/>
      <c r="I6" s="105" t="s">
        <v>290</v>
      </c>
      <c r="N6" s="92" t="s">
        <v>291</v>
      </c>
      <c r="P6" s="92" t="s">
        <v>292</v>
      </c>
      <c r="S6" s="116" t="s">
        <v>293</v>
      </c>
      <c r="Y6" s="102" t="s">
        <v>238</v>
      </c>
      <c r="Z6" s="102" t="s">
        <v>294</v>
      </c>
      <c r="AB6" s="102" t="s">
        <v>295</v>
      </c>
      <c r="AD6" s="92" t="s">
        <v>296</v>
      </c>
      <c r="AF6" s="92" t="str">
        <f t="shared" si="0"/>
        <v xml:space="preserve">F2CL2 - FABIRC WFT KNT 94/6% CT/LYC             </v>
      </c>
      <c r="AG6" s="92" t="s">
        <v>297</v>
      </c>
      <c r="AH6" s="92" t="s">
        <v>298</v>
      </c>
      <c r="AJ6" s="92" t="s">
        <v>4041</v>
      </c>
      <c r="AL6" s="93" t="s">
        <v>299</v>
      </c>
      <c r="AM6" s="92" t="s">
        <v>300</v>
      </c>
      <c r="AS6" s="27" t="s">
        <v>301</v>
      </c>
      <c r="AU6" s="92" t="s">
        <v>302</v>
      </c>
      <c r="AW6" s="103" t="s">
        <v>275</v>
      </c>
      <c r="AY6" s="27" t="s">
        <v>304</v>
      </c>
      <c r="BA6" s="10" t="s">
        <v>305</v>
      </c>
      <c r="BC6" s="11" t="s">
        <v>4459</v>
      </c>
      <c r="BD6" s="11"/>
      <c r="BE6" s="11"/>
      <c r="BG6" s="28" t="s">
        <v>230</v>
      </c>
      <c r="BH6" s="11"/>
      <c r="BI6" s="92" t="s">
        <v>307</v>
      </c>
      <c r="BJ6" s="11"/>
      <c r="BK6" s="103" t="s">
        <v>284</v>
      </c>
      <c r="BL6" s="11"/>
      <c r="BM6" s="103" t="s">
        <v>308</v>
      </c>
      <c r="BN6" s="11"/>
      <c r="BO6" s="92" t="s">
        <v>536</v>
      </c>
      <c r="BP6" s="27"/>
      <c r="BQ6" s="104" t="s">
        <v>283</v>
      </c>
      <c r="BR6" s="11"/>
      <c r="BS6" s="104" t="s">
        <v>311</v>
      </c>
      <c r="BT6" s="11"/>
      <c r="BU6" s="11"/>
      <c r="BV6" s="11"/>
      <c r="BW6" s="11"/>
      <c r="BX6" s="11"/>
      <c r="BY6" s="11"/>
      <c r="BZ6" s="11"/>
      <c r="CA6" s="11"/>
      <c r="CB6" s="11"/>
      <c r="CC6" s="11"/>
      <c r="CD6" s="11"/>
      <c r="CE6" s="11"/>
    </row>
    <row r="7" spans="1:106" x14ac:dyDescent="0.2">
      <c r="A7" s="105" t="s">
        <v>312</v>
      </c>
      <c r="B7" s="109" t="s">
        <v>313</v>
      </c>
      <c r="C7" s="110" t="s">
        <v>314</v>
      </c>
      <c r="D7" s="106" t="s">
        <v>315</v>
      </c>
      <c r="E7" s="105" t="s">
        <v>316</v>
      </c>
      <c r="F7" s="105" t="s">
        <v>316</v>
      </c>
      <c r="G7" s="107"/>
      <c r="H7" s="96"/>
      <c r="I7" s="118" t="s">
        <v>317</v>
      </c>
      <c r="N7" s="92" t="s">
        <v>318</v>
      </c>
      <c r="P7" s="92" t="s">
        <v>319</v>
      </c>
      <c r="S7" s="116" t="s">
        <v>320</v>
      </c>
      <c r="Y7" s="102" t="s">
        <v>238</v>
      </c>
      <c r="Z7" s="102" t="s">
        <v>321</v>
      </c>
      <c r="AB7" s="102" t="s">
        <v>322</v>
      </c>
      <c r="AD7" s="92" t="s">
        <v>323</v>
      </c>
      <c r="AF7" s="92" t="str">
        <f t="shared" si="0"/>
        <v xml:space="preserve">F2CL3 - FABIRC WFT KNT 95/5% CT/LYC             </v>
      </c>
      <c r="AG7" s="92" t="s">
        <v>324</v>
      </c>
      <c r="AH7" s="92" t="s">
        <v>325</v>
      </c>
      <c r="AJ7" s="92" t="s">
        <v>4042</v>
      </c>
      <c r="AL7" s="93" t="s">
        <v>326</v>
      </c>
      <c r="AM7" s="92" t="s">
        <v>327</v>
      </c>
      <c r="AS7" s="92" t="s">
        <v>328</v>
      </c>
      <c r="AU7" s="92" t="s">
        <v>329</v>
      </c>
      <c r="AW7" s="27" t="s">
        <v>303</v>
      </c>
      <c r="AY7" s="27" t="s">
        <v>331</v>
      </c>
      <c r="BA7" s="92" t="s">
        <v>4029</v>
      </c>
      <c r="BC7" s="11" t="s">
        <v>217</v>
      </c>
      <c r="BD7" s="11"/>
      <c r="BE7" s="11"/>
      <c r="BG7" s="28" t="s">
        <v>261</v>
      </c>
      <c r="BI7" s="92" t="s">
        <v>333</v>
      </c>
      <c r="BK7" s="103" t="s">
        <v>334</v>
      </c>
      <c r="BM7" s="103" t="s">
        <v>335</v>
      </c>
      <c r="BO7" s="27" t="s">
        <v>554</v>
      </c>
      <c r="BP7" s="27"/>
      <c r="BQ7" s="104" t="s">
        <v>310</v>
      </c>
      <c r="BS7" s="104" t="s">
        <v>338</v>
      </c>
    </row>
    <row r="8" spans="1:106" x14ac:dyDescent="0.2">
      <c r="A8" s="105" t="s">
        <v>339</v>
      </c>
      <c r="B8" s="109" t="s">
        <v>340</v>
      </c>
      <c r="C8" s="110" t="s">
        <v>341</v>
      </c>
      <c r="D8" s="106" t="s">
        <v>342</v>
      </c>
      <c r="E8" s="105" t="s">
        <v>343</v>
      </c>
      <c r="F8" s="105" t="s">
        <v>343</v>
      </c>
      <c r="G8" s="107"/>
      <c r="H8" s="96"/>
      <c r="I8" s="105" t="s">
        <v>344</v>
      </c>
      <c r="N8" s="92" t="s">
        <v>345</v>
      </c>
      <c r="P8" s="92" t="s">
        <v>346</v>
      </c>
      <c r="S8" s="116" t="s">
        <v>347</v>
      </c>
      <c r="Y8" s="102" t="s">
        <v>238</v>
      </c>
      <c r="Z8" s="102" t="s">
        <v>348</v>
      </c>
      <c r="AD8" s="92" t="s">
        <v>349</v>
      </c>
      <c r="AF8" s="92" t="str">
        <f t="shared" si="0"/>
        <v xml:space="preserve">F2CO1 - FAB WFT KNT 43/52/5%CT/OR CT/SP         </v>
      </c>
      <c r="AG8" s="92" t="s">
        <v>350</v>
      </c>
      <c r="AH8" s="92" t="s">
        <v>351</v>
      </c>
      <c r="AJ8" s="92" t="s">
        <v>4043</v>
      </c>
      <c r="AL8" s="93" t="s">
        <v>352</v>
      </c>
      <c r="AM8" s="92" t="s">
        <v>353</v>
      </c>
      <c r="AS8" s="92" t="s">
        <v>4523</v>
      </c>
      <c r="AU8" s="92" t="s">
        <v>355</v>
      </c>
      <c r="AW8" s="103" t="s">
        <v>330</v>
      </c>
      <c r="AY8" s="27" t="s">
        <v>357</v>
      </c>
      <c r="BC8" s="11" t="s">
        <v>4460</v>
      </c>
      <c r="BD8" s="11"/>
      <c r="BE8" s="11"/>
      <c r="BG8" s="28" t="s">
        <v>359</v>
      </c>
      <c r="BI8" s="92" t="s">
        <v>360</v>
      </c>
      <c r="BK8" s="103" t="s">
        <v>311</v>
      </c>
      <c r="BM8" s="103" t="s">
        <v>361</v>
      </c>
      <c r="BO8" s="27" t="s">
        <v>573</v>
      </c>
      <c r="BP8" s="27"/>
      <c r="BQ8" s="104" t="s">
        <v>337</v>
      </c>
      <c r="BS8" s="104" t="s">
        <v>364</v>
      </c>
    </row>
    <row r="9" spans="1:106" x14ac:dyDescent="0.2">
      <c r="A9" s="105" t="s">
        <v>365</v>
      </c>
      <c r="B9" s="109" t="s">
        <v>366</v>
      </c>
      <c r="C9" s="110" t="s">
        <v>367</v>
      </c>
      <c r="D9" s="106" t="s">
        <v>368</v>
      </c>
      <c r="E9" s="105" t="s">
        <v>369</v>
      </c>
      <c r="F9" s="105" t="s">
        <v>369</v>
      </c>
      <c r="G9" s="107"/>
      <c r="H9" s="96"/>
      <c r="I9" s="118" t="s">
        <v>370</v>
      </c>
      <c r="N9" s="92" t="s">
        <v>371</v>
      </c>
      <c r="P9" s="92" t="s">
        <v>372</v>
      </c>
      <c r="S9" s="116" t="s">
        <v>373</v>
      </c>
      <c r="Y9" s="102" t="s">
        <v>267</v>
      </c>
      <c r="Z9" s="102" t="s">
        <v>374</v>
      </c>
      <c r="AD9" s="92" t="s">
        <v>375</v>
      </c>
      <c r="AF9" s="92" t="str">
        <f t="shared" si="0"/>
        <v xml:space="preserve">F2CO2 - FAB WFT KNT 43/57% CT/OR CT             </v>
      </c>
      <c r="AG9" s="92" t="s">
        <v>376</v>
      </c>
      <c r="AH9" s="92" t="s">
        <v>377</v>
      </c>
      <c r="AJ9" s="92" t="s">
        <v>4044</v>
      </c>
      <c r="AL9" s="93" t="s">
        <v>378</v>
      </c>
      <c r="AM9" s="92" t="s">
        <v>379</v>
      </c>
      <c r="AS9" s="27" t="s">
        <v>354</v>
      </c>
      <c r="AU9" s="27" t="s">
        <v>381</v>
      </c>
      <c r="AW9" s="92" t="s">
        <v>356</v>
      </c>
      <c r="AY9" s="103" t="s">
        <v>382</v>
      </c>
      <c r="BC9" s="11" t="s">
        <v>4461</v>
      </c>
      <c r="BD9" s="11"/>
      <c r="BE9" s="11"/>
      <c r="BG9" s="28" t="s">
        <v>290</v>
      </c>
      <c r="BI9" s="92" t="s">
        <v>384</v>
      </c>
      <c r="BK9" s="103" t="s">
        <v>338</v>
      </c>
      <c r="BM9" s="103" t="s">
        <v>385</v>
      </c>
      <c r="BO9" s="92" t="s">
        <v>4024</v>
      </c>
      <c r="BP9" s="27"/>
      <c r="BQ9" s="104" t="s">
        <v>363</v>
      </c>
      <c r="BS9" s="104" t="s">
        <v>387</v>
      </c>
    </row>
    <row r="10" spans="1:106" x14ac:dyDescent="0.2">
      <c r="A10" s="105" t="s">
        <v>388</v>
      </c>
      <c r="B10" s="109" t="s">
        <v>389</v>
      </c>
      <c r="C10" s="110" t="s">
        <v>390</v>
      </c>
      <c r="D10" s="106" t="s">
        <v>391</v>
      </c>
      <c r="E10" s="105" t="s">
        <v>392</v>
      </c>
      <c r="F10" s="105" t="s">
        <v>392</v>
      </c>
      <c r="G10" s="107"/>
      <c r="H10" s="96"/>
      <c r="I10" s="105" t="s">
        <v>393</v>
      </c>
      <c r="N10" s="92" t="s">
        <v>394</v>
      </c>
      <c r="P10" s="92" t="s">
        <v>395</v>
      </c>
      <c r="S10" s="116" t="s">
        <v>396</v>
      </c>
      <c r="Y10" s="102" t="s">
        <v>267</v>
      </c>
      <c r="Z10" s="102" t="s">
        <v>397</v>
      </c>
      <c r="AD10" s="92" t="s">
        <v>398</v>
      </c>
      <c r="AF10" s="92" t="str">
        <f t="shared" si="0"/>
        <v xml:space="preserve">F2CP1 - FABIRC WFT KNT 75/25% COT/POLY          </v>
      </c>
      <c r="AG10" s="92" t="s">
        <v>399</v>
      </c>
      <c r="AH10" s="92" t="s">
        <v>400</v>
      </c>
      <c r="AJ10" s="92" t="s">
        <v>4045</v>
      </c>
      <c r="AL10" s="93" t="s">
        <v>401</v>
      </c>
      <c r="AM10" s="92" t="s">
        <v>402</v>
      </c>
      <c r="AS10" s="27" t="s">
        <v>380</v>
      </c>
      <c r="AU10" s="27" t="s">
        <v>404</v>
      </c>
      <c r="AW10" s="92" t="s">
        <v>336</v>
      </c>
      <c r="AY10" s="103" t="s">
        <v>342</v>
      </c>
      <c r="BC10" s="11" t="s">
        <v>250</v>
      </c>
      <c r="BD10" s="11"/>
      <c r="BE10" s="11"/>
      <c r="BG10" s="28" t="s">
        <v>317</v>
      </c>
      <c r="BI10" s="92" t="s">
        <v>407</v>
      </c>
      <c r="BK10" s="103" t="s">
        <v>408</v>
      </c>
      <c r="BM10" s="103" t="s">
        <v>409</v>
      </c>
      <c r="BO10" s="92" t="s">
        <v>608</v>
      </c>
      <c r="BP10" s="27"/>
      <c r="BQ10" s="104" t="s">
        <v>386</v>
      </c>
      <c r="BS10" s="92" t="s">
        <v>411</v>
      </c>
    </row>
    <row r="11" spans="1:106" x14ac:dyDescent="0.2">
      <c r="A11" s="105" t="s">
        <v>412</v>
      </c>
      <c r="B11" s="109" t="s">
        <v>413</v>
      </c>
      <c r="C11" s="110" t="s">
        <v>414</v>
      </c>
      <c r="D11" s="106" t="s">
        <v>415</v>
      </c>
      <c r="E11" s="105" t="s">
        <v>416</v>
      </c>
      <c r="F11" s="105" t="s">
        <v>416</v>
      </c>
      <c r="G11" s="107"/>
      <c r="H11" s="96"/>
      <c r="I11" s="118" t="s">
        <v>417</v>
      </c>
      <c r="N11" s="92" t="s">
        <v>418</v>
      </c>
      <c r="P11" s="92" t="s">
        <v>419</v>
      </c>
      <c r="S11" s="116" t="s">
        <v>420</v>
      </c>
      <c r="Y11" s="102" t="s">
        <v>295</v>
      </c>
      <c r="Z11" s="102" t="s">
        <v>421</v>
      </c>
      <c r="AD11" s="92" t="s">
        <v>422</v>
      </c>
      <c r="AF11" s="92" t="str">
        <f t="shared" si="0"/>
        <v xml:space="preserve">F2CS1 - FABIRC WFT KNT 75/25% COT/SP            </v>
      </c>
      <c r="AG11" s="92" t="s">
        <v>423</v>
      </c>
      <c r="AH11" s="92" t="s">
        <v>424</v>
      </c>
      <c r="AJ11" s="92" t="s">
        <v>4046</v>
      </c>
      <c r="AL11" s="93" t="s">
        <v>425</v>
      </c>
      <c r="AM11" s="92" t="s">
        <v>426</v>
      </c>
      <c r="AS11" s="27" t="s">
        <v>403</v>
      </c>
      <c r="AU11" s="27" t="s">
        <v>428</v>
      </c>
      <c r="AW11" s="103" t="s">
        <v>405</v>
      </c>
      <c r="AY11" s="103" t="s">
        <v>429</v>
      </c>
      <c r="BC11" s="11" t="s">
        <v>4462</v>
      </c>
      <c r="BD11" s="11"/>
      <c r="BE11" s="11"/>
      <c r="BG11" s="28" t="s">
        <v>431</v>
      </c>
      <c r="BI11" s="92" t="s">
        <v>432</v>
      </c>
      <c r="BK11" s="103" t="s">
        <v>364</v>
      </c>
      <c r="BM11" s="103" t="s">
        <v>433</v>
      </c>
      <c r="BO11" s="92" t="s">
        <v>625</v>
      </c>
      <c r="BP11" s="27"/>
      <c r="BQ11" s="119" t="s">
        <v>410</v>
      </c>
      <c r="BS11" s="92" t="s">
        <v>435</v>
      </c>
    </row>
    <row r="12" spans="1:106" x14ac:dyDescent="0.2">
      <c r="A12" s="105" t="s">
        <v>436</v>
      </c>
      <c r="B12" s="109" t="s">
        <v>437</v>
      </c>
      <c r="C12" s="110" t="s">
        <v>438</v>
      </c>
      <c r="D12" s="106" t="s">
        <v>439</v>
      </c>
      <c r="E12" s="105" t="s">
        <v>440</v>
      </c>
      <c r="F12" s="105" t="s">
        <v>440</v>
      </c>
      <c r="G12" s="107"/>
      <c r="H12" s="96"/>
      <c r="I12" s="105" t="s">
        <v>441</v>
      </c>
      <c r="N12" s="92" t="s">
        <v>442</v>
      </c>
      <c r="P12" s="92" t="s">
        <v>443</v>
      </c>
      <c r="S12" s="116" t="s">
        <v>444</v>
      </c>
      <c r="Y12" s="102" t="s">
        <v>295</v>
      </c>
      <c r="Z12" s="102" t="s">
        <v>445</v>
      </c>
      <c r="AD12" s="92" t="s">
        <v>446</v>
      </c>
      <c r="AF12" s="92" t="str">
        <f t="shared" si="0"/>
        <v xml:space="preserve">F2CS2 - FAB WFT KNT 93/7% COTTTON/SP            </v>
      </c>
      <c r="AG12" s="92" t="s">
        <v>447</v>
      </c>
      <c r="AH12" s="92" t="s">
        <v>448</v>
      </c>
      <c r="AJ12" s="92" t="s">
        <v>4047</v>
      </c>
      <c r="AL12" s="93" t="s">
        <v>449</v>
      </c>
      <c r="AM12" s="92" t="s">
        <v>450</v>
      </c>
      <c r="AS12" s="27" t="s">
        <v>427</v>
      </c>
      <c r="AU12" s="92" t="s">
        <v>452</v>
      </c>
      <c r="AW12" s="103" t="s">
        <v>453</v>
      </c>
      <c r="BC12" s="16" t="s">
        <v>4463</v>
      </c>
      <c r="BD12" s="16"/>
      <c r="BE12" s="16"/>
      <c r="BG12" s="28" t="s">
        <v>455</v>
      </c>
      <c r="BI12" s="92" t="s">
        <v>456</v>
      </c>
      <c r="BK12" s="103" t="s">
        <v>387</v>
      </c>
      <c r="BM12" s="103" t="s">
        <v>457</v>
      </c>
      <c r="BO12" s="27" t="s">
        <v>640</v>
      </c>
      <c r="BP12" s="27"/>
      <c r="BQ12" s="104" t="s">
        <v>434</v>
      </c>
      <c r="BS12" s="104" t="s">
        <v>458</v>
      </c>
    </row>
    <row r="13" spans="1:106" x14ac:dyDescent="0.2">
      <c r="A13" s="105" t="s">
        <v>459</v>
      </c>
      <c r="B13" s="109" t="s">
        <v>460</v>
      </c>
      <c r="C13" s="110" t="s">
        <v>461</v>
      </c>
      <c r="D13" s="106" t="s">
        <v>248</v>
      </c>
      <c r="E13" s="105" t="s">
        <v>462</v>
      </c>
      <c r="F13" s="105" t="s">
        <v>462</v>
      </c>
      <c r="G13" s="107"/>
      <c r="H13" s="96"/>
      <c r="I13" s="118" t="s">
        <v>463</v>
      </c>
      <c r="N13" s="92" t="s">
        <v>464</v>
      </c>
      <c r="S13" s="116" t="s">
        <v>465</v>
      </c>
      <c r="Y13" s="102" t="s">
        <v>295</v>
      </c>
      <c r="Z13" s="102" t="s">
        <v>466</v>
      </c>
      <c r="AD13" s="92" t="s">
        <v>467</v>
      </c>
      <c r="AF13" s="92" t="str">
        <f t="shared" si="0"/>
        <v xml:space="preserve">F2CS3 - FABIRC WFT KNT 94/6% CT/SP              </v>
      </c>
      <c r="AG13" s="92" t="s">
        <v>468</v>
      </c>
      <c r="AH13" s="92" t="s">
        <v>469</v>
      </c>
      <c r="AJ13" s="92" t="s">
        <v>4048</v>
      </c>
      <c r="AL13" s="93" t="s">
        <v>470</v>
      </c>
      <c r="AM13" s="92" t="s">
        <v>471</v>
      </c>
      <c r="AS13" s="92" t="s">
        <v>451</v>
      </c>
      <c r="AU13" s="92" t="s">
        <v>473</v>
      </c>
      <c r="AW13" s="103" t="s">
        <v>474</v>
      </c>
      <c r="BC13" s="11" t="s">
        <v>278</v>
      </c>
      <c r="BD13" s="11"/>
      <c r="BE13" s="11"/>
      <c r="BG13" s="28" t="s">
        <v>344</v>
      </c>
      <c r="BI13" s="92" t="s">
        <v>476</v>
      </c>
      <c r="BK13" s="103" t="s">
        <v>458</v>
      </c>
      <c r="BM13" s="103" t="s">
        <v>477</v>
      </c>
      <c r="BO13" s="92" t="s">
        <v>669</v>
      </c>
      <c r="BP13" s="27"/>
      <c r="BS13" s="92" t="s">
        <v>478</v>
      </c>
    </row>
    <row r="14" spans="1:106" x14ac:dyDescent="0.2">
      <c r="A14" s="105" t="s">
        <v>479</v>
      </c>
      <c r="B14" s="109" t="s">
        <v>480</v>
      </c>
      <c r="C14" s="110" t="s">
        <v>481</v>
      </c>
      <c r="D14" s="106" t="s">
        <v>482</v>
      </c>
      <c r="E14" s="105" t="s">
        <v>483</v>
      </c>
      <c r="F14" s="105" t="s">
        <v>483</v>
      </c>
      <c r="G14" s="107"/>
      <c r="H14" s="96"/>
      <c r="I14" s="105" t="s">
        <v>484</v>
      </c>
      <c r="N14" s="92" t="s">
        <v>485</v>
      </c>
      <c r="S14" s="116" t="s">
        <v>486</v>
      </c>
      <c r="Y14" s="102" t="s">
        <v>295</v>
      </c>
      <c r="Z14" s="102" t="s">
        <v>487</v>
      </c>
      <c r="AD14" s="92" t="s">
        <v>488</v>
      </c>
      <c r="AF14" s="92" t="str">
        <f t="shared" si="0"/>
        <v xml:space="preserve">F2CS4 - FABIRC WFT KNT 95/5% CT/SP              </v>
      </c>
      <c r="AG14" s="92" t="s">
        <v>489</v>
      </c>
      <c r="AH14" s="92" t="s">
        <v>490</v>
      </c>
      <c r="AJ14" s="92" t="s">
        <v>4049</v>
      </c>
      <c r="AL14" s="93" t="s">
        <v>491</v>
      </c>
      <c r="AM14" s="92" t="s">
        <v>492</v>
      </c>
      <c r="AS14" s="92" t="s">
        <v>472</v>
      </c>
      <c r="AU14" s="27" t="s">
        <v>493</v>
      </c>
      <c r="AW14" s="27" t="s">
        <v>494</v>
      </c>
      <c r="BC14" s="11" t="s">
        <v>306</v>
      </c>
      <c r="BD14" s="11"/>
      <c r="BE14" s="11"/>
      <c r="BG14" s="28" t="s">
        <v>370</v>
      </c>
      <c r="BI14" s="92" t="s">
        <v>4026</v>
      </c>
      <c r="BK14" s="103" t="s">
        <v>497</v>
      </c>
      <c r="BM14" s="103" t="s">
        <v>498</v>
      </c>
      <c r="BO14" s="27" t="s">
        <v>682</v>
      </c>
      <c r="BP14" s="27"/>
      <c r="BS14" s="92" t="s">
        <v>499</v>
      </c>
    </row>
    <row r="15" spans="1:106" x14ac:dyDescent="0.2">
      <c r="A15" s="105" t="s">
        <v>500</v>
      </c>
      <c r="B15" s="109"/>
      <c r="C15" s="110"/>
      <c r="D15" s="36"/>
      <c r="E15" s="105" t="s">
        <v>501</v>
      </c>
      <c r="F15" s="105" t="s">
        <v>501</v>
      </c>
      <c r="G15" s="107"/>
      <c r="H15" s="96"/>
      <c r="I15" s="118" t="s">
        <v>502</v>
      </c>
      <c r="N15" s="92" t="s">
        <v>503</v>
      </c>
      <c r="S15" s="116" t="s">
        <v>504</v>
      </c>
      <c r="Y15" s="102" t="s">
        <v>295</v>
      </c>
      <c r="Z15" s="102" t="s">
        <v>505</v>
      </c>
      <c r="AD15" s="92" t="s">
        <v>506</v>
      </c>
      <c r="AF15" s="92" t="str">
        <f t="shared" si="0"/>
        <v xml:space="preserve">F2CS5 - FABRIC WFT KNT 95/5% ORGANIC CT/SP      </v>
      </c>
      <c r="AG15" s="92" t="s">
        <v>507</v>
      </c>
      <c r="AH15" s="92" t="s">
        <v>508</v>
      </c>
      <c r="AJ15" s="92" t="s">
        <v>4050</v>
      </c>
      <c r="AL15" s="93" t="s">
        <v>509</v>
      </c>
      <c r="AM15" s="92" t="s">
        <v>510</v>
      </c>
      <c r="AU15" s="92" t="s">
        <v>511</v>
      </c>
      <c r="AW15" s="103" t="s">
        <v>512</v>
      </c>
      <c r="BC15" s="11" t="s">
        <v>4464</v>
      </c>
      <c r="BD15" s="11"/>
      <c r="BE15" s="11"/>
      <c r="BG15" s="28" t="s">
        <v>514</v>
      </c>
      <c r="BI15" s="92" t="s">
        <v>496</v>
      </c>
      <c r="BK15" s="103" t="s">
        <v>516</v>
      </c>
      <c r="BM15" s="103" t="s">
        <v>517</v>
      </c>
      <c r="BO15" s="92" t="s">
        <v>706</v>
      </c>
      <c r="BP15" s="27"/>
      <c r="BS15" s="104" t="s">
        <v>497</v>
      </c>
    </row>
    <row r="16" spans="1:106" x14ac:dyDescent="0.2">
      <c r="A16" s="105" t="s">
        <v>518</v>
      </c>
      <c r="B16" s="109"/>
      <c r="C16" s="110"/>
      <c r="D16" s="36"/>
      <c r="E16" s="105" t="s">
        <v>519</v>
      </c>
      <c r="F16" s="105" t="s">
        <v>519</v>
      </c>
      <c r="G16" s="107"/>
      <c r="H16" s="96"/>
      <c r="I16" s="105" t="s">
        <v>520</v>
      </c>
      <c r="N16" s="92" t="s">
        <v>521</v>
      </c>
      <c r="S16" s="116" t="s">
        <v>522</v>
      </c>
      <c r="Y16" s="102" t="s">
        <v>295</v>
      </c>
      <c r="Z16" s="102" t="s">
        <v>523</v>
      </c>
      <c r="AD16" s="92" t="s">
        <v>524</v>
      </c>
      <c r="AF16" s="92" t="str">
        <f t="shared" si="0"/>
        <v xml:space="preserve">F2CS6 - FAB WFT KNT 88/12% COTTTON/SP           </v>
      </c>
      <c r="AG16" s="92" t="s">
        <v>525</v>
      </c>
      <c r="AH16" s="92" t="s">
        <v>526</v>
      </c>
      <c r="AJ16" s="92" t="s">
        <v>4051</v>
      </c>
      <c r="AL16" s="93" t="s">
        <v>527</v>
      </c>
      <c r="AM16" s="92" t="s">
        <v>528</v>
      </c>
      <c r="AU16" s="92" t="s">
        <v>529</v>
      </c>
      <c r="AW16" s="92" t="s">
        <v>530</v>
      </c>
      <c r="BC16" s="11" t="s">
        <v>4465</v>
      </c>
      <c r="BD16" s="11"/>
      <c r="BE16" s="11"/>
      <c r="BG16" s="28" t="s">
        <v>532</v>
      </c>
      <c r="BI16" s="92" t="s">
        <v>515</v>
      </c>
      <c r="BK16" s="103" t="s">
        <v>534</v>
      </c>
      <c r="BM16" s="103" t="s">
        <v>535</v>
      </c>
      <c r="BO16" s="92" t="s">
        <v>717</v>
      </c>
      <c r="BP16" s="27"/>
      <c r="BS16" s="104" t="s">
        <v>534</v>
      </c>
    </row>
    <row r="17" spans="1:71" x14ac:dyDescent="0.2">
      <c r="A17" s="105" t="s">
        <v>537</v>
      </c>
      <c r="B17" s="109"/>
      <c r="C17" s="110"/>
      <c r="D17" s="36"/>
      <c r="E17" s="105" t="s">
        <v>538</v>
      </c>
      <c r="F17" s="105" t="s">
        <v>538</v>
      </c>
      <c r="G17" s="107"/>
      <c r="H17" s="96"/>
      <c r="I17" s="118" t="s">
        <v>539</v>
      </c>
      <c r="N17" s="92" t="s">
        <v>540</v>
      </c>
      <c r="S17" s="116" t="s">
        <v>541</v>
      </c>
      <c r="Y17" s="102" t="s">
        <v>295</v>
      </c>
      <c r="Z17" s="102" t="s">
        <v>542</v>
      </c>
      <c r="AD17" s="92" t="s">
        <v>543</v>
      </c>
      <c r="AF17" s="92" t="str">
        <f t="shared" si="0"/>
        <v xml:space="preserve">F2CS7 - FAB WFT KNT 91/9% COTTTON/LYCRA         </v>
      </c>
      <c r="AG17" s="92" t="s">
        <v>544</v>
      </c>
      <c r="AH17" s="92" t="s">
        <v>545</v>
      </c>
      <c r="AJ17" s="92" t="s">
        <v>4052</v>
      </c>
      <c r="AL17" s="93" t="s">
        <v>546</v>
      </c>
      <c r="AM17" s="92" t="s">
        <v>547</v>
      </c>
      <c r="AU17" s="92" t="s">
        <v>4524</v>
      </c>
      <c r="AW17" s="27" t="s">
        <v>549</v>
      </c>
      <c r="BC17" s="11" t="s">
        <v>332</v>
      </c>
      <c r="BD17" s="11"/>
      <c r="BE17" s="11"/>
      <c r="BG17" s="28" t="s">
        <v>393</v>
      </c>
      <c r="BI17" s="92" t="s">
        <v>533</v>
      </c>
      <c r="BK17" s="103" t="s">
        <v>552</v>
      </c>
      <c r="BM17" s="103" t="s">
        <v>553</v>
      </c>
      <c r="BO17" s="92" t="s">
        <v>738</v>
      </c>
      <c r="BP17" s="27"/>
      <c r="BS17" s="104" t="s">
        <v>552</v>
      </c>
    </row>
    <row r="18" spans="1:71" x14ac:dyDescent="0.2">
      <c r="A18" s="105" t="s">
        <v>555</v>
      </c>
      <c r="B18" s="109"/>
      <c r="C18" s="110"/>
      <c r="D18" s="36"/>
      <c r="E18" s="105" t="s">
        <v>556</v>
      </c>
      <c r="F18" s="105" t="s">
        <v>556</v>
      </c>
      <c r="G18" s="107"/>
      <c r="H18" s="96"/>
      <c r="I18" s="105" t="s">
        <v>557</v>
      </c>
      <c r="N18" s="92" t="s">
        <v>558</v>
      </c>
      <c r="S18" s="116" t="s">
        <v>559</v>
      </c>
      <c r="Y18" s="102" t="s">
        <v>295</v>
      </c>
      <c r="Z18" s="102" t="s">
        <v>560</v>
      </c>
      <c r="AD18" s="92" t="s">
        <v>561</v>
      </c>
      <c r="AF18" s="92" t="str">
        <f t="shared" si="0"/>
        <v xml:space="preserve">F2HCT - FABIRC WFT KNT 100% CT                  </v>
      </c>
      <c r="AG18" s="92" t="s">
        <v>562</v>
      </c>
      <c r="AH18" s="92" t="s">
        <v>563</v>
      </c>
      <c r="AJ18" s="92" t="s">
        <v>4053</v>
      </c>
      <c r="AL18" s="93" t="s">
        <v>564</v>
      </c>
      <c r="AM18" s="92" t="s">
        <v>565</v>
      </c>
      <c r="AU18" s="92" t="s">
        <v>4525</v>
      </c>
      <c r="AW18" s="27" t="s">
        <v>567</v>
      </c>
      <c r="BC18" s="11" t="s">
        <v>358</v>
      </c>
      <c r="BD18" s="11"/>
      <c r="BE18" s="11"/>
      <c r="BG18" s="28" t="s">
        <v>569</v>
      </c>
      <c r="BI18" s="92" t="s">
        <v>551</v>
      </c>
      <c r="BK18" s="103" t="s">
        <v>571</v>
      </c>
      <c r="BM18" s="103" t="s">
        <v>572</v>
      </c>
      <c r="BO18" s="92" t="s">
        <v>750</v>
      </c>
      <c r="BP18" s="27"/>
      <c r="BS18" s="104" t="s">
        <v>571</v>
      </c>
    </row>
    <row r="19" spans="1:71" x14ac:dyDescent="0.2">
      <c r="A19" s="105" t="s">
        <v>574</v>
      </c>
      <c r="B19" s="109"/>
      <c r="C19" s="110"/>
      <c r="D19" s="36"/>
      <c r="E19" s="105" t="s">
        <v>575</v>
      </c>
      <c r="F19" s="105" t="s">
        <v>575</v>
      </c>
      <c r="G19" s="107"/>
      <c r="H19" s="96"/>
      <c r="I19" s="118" t="s">
        <v>576</v>
      </c>
      <c r="N19" s="92" t="s">
        <v>577</v>
      </c>
      <c r="S19" s="116" t="s">
        <v>578</v>
      </c>
      <c r="Y19" s="102" t="s">
        <v>295</v>
      </c>
      <c r="Z19" s="102" t="s">
        <v>579</v>
      </c>
      <c r="AD19" s="92" t="s">
        <v>580</v>
      </c>
      <c r="AF19" s="92" t="str">
        <f t="shared" si="0"/>
        <v xml:space="preserve">F2HOC - FABIRC WFT KNT 100% OR CT               </v>
      </c>
      <c r="AG19" s="92" t="s">
        <v>581</v>
      </c>
      <c r="AH19" s="92" t="s">
        <v>582</v>
      </c>
      <c r="AJ19" s="92" t="s">
        <v>4054</v>
      </c>
      <c r="AL19" s="93" t="s">
        <v>583</v>
      </c>
      <c r="AM19" s="92" t="s">
        <v>584</v>
      </c>
      <c r="AU19" s="92" t="s">
        <v>4526</v>
      </c>
      <c r="AW19" s="103" t="s">
        <v>586</v>
      </c>
      <c r="BC19" s="11" t="s">
        <v>4466</v>
      </c>
      <c r="BD19" s="11"/>
      <c r="BE19" s="11"/>
      <c r="BG19" s="28" t="s">
        <v>417</v>
      </c>
      <c r="BI19" s="92" t="s">
        <v>570</v>
      </c>
      <c r="BK19" s="103" t="s">
        <v>589</v>
      </c>
      <c r="BM19" s="103" t="s">
        <v>590</v>
      </c>
      <c r="BO19" s="92" t="s">
        <v>772</v>
      </c>
      <c r="BP19" s="27"/>
    </row>
    <row r="20" spans="1:71" x14ac:dyDescent="0.2">
      <c r="A20" s="105" t="s">
        <v>591</v>
      </c>
      <c r="B20" s="109"/>
      <c r="C20" s="110"/>
      <c r="D20" s="36"/>
      <c r="E20" s="105" t="s">
        <v>592</v>
      </c>
      <c r="F20" s="105" t="s">
        <v>592</v>
      </c>
      <c r="G20" s="107"/>
      <c r="H20" s="96"/>
      <c r="I20" s="105" t="s">
        <v>593</v>
      </c>
      <c r="N20" s="92" t="s">
        <v>594</v>
      </c>
      <c r="S20" s="116" t="s">
        <v>595</v>
      </c>
      <c r="Y20" s="102" t="s">
        <v>295</v>
      </c>
      <c r="Z20" s="102" t="s">
        <v>596</v>
      </c>
      <c r="AD20" s="92" t="s">
        <v>597</v>
      </c>
      <c r="AF20" s="92" t="str">
        <f t="shared" si="0"/>
        <v xml:space="preserve">F2ME1 - FAB WFT KNT 93% MIC MDL 7%ELS           </v>
      </c>
      <c r="AG20" s="92" t="s">
        <v>598</v>
      </c>
      <c r="AH20" s="92" t="s">
        <v>599</v>
      </c>
      <c r="AJ20" s="92" t="s">
        <v>4055</v>
      </c>
      <c r="AL20" s="93" t="s">
        <v>600</v>
      </c>
      <c r="AM20" s="92" t="s">
        <v>601</v>
      </c>
      <c r="AU20" s="92" t="s">
        <v>4527</v>
      </c>
      <c r="AW20" s="27" t="s">
        <v>603</v>
      </c>
      <c r="BC20" s="11" t="s">
        <v>383</v>
      </c>
      <c r="BD20" s="11"/>
      <c r="BE20" s="11"/>
      <c r="BG20" s="28" t="s">
        <v>441</v>
      </c>
      <c r="BI20" s="103" t="s">
        <v>588</v>
      </c>
      <c r="BK20" s="103" t="s">
        <v>606</v>
      </c>
      <c r="BM20" s="103" t="s">
        <v>607</v>
      </c>
      <c r="BO20" s="103" t="s">
        <v>783</v>
      </c>
      <c r="BP20" s="27"/>
    </row>
    <row r="21" spans="1:71" x14ac:dyDescent="0.2">
      <c r="A21" s="105" t="s">
        <v>609</v>
      </c>
      <c r="B21" s="109"/>
      <c r="C21" s="110"/>
      <c r="D21" s="36"/>
      <c r="E21" s="105" t="s">
        <v>610</v>
      </c>
      <c r="F21" s="105" t="s">
        <v>610</v>
      </c>
      <c r="G21" s="107"/>
      <c r="H21" s="96"/>
      <c r="I21" s="118" t="s">
        <v>611</v>
      </c>
      <c r="N21" s="92" t="s">
        <v>612</v>
      </c>
      <c r="S21" s="120" t="s">
        <v>237</v>
      </c>
      <c r="Y21" s="102" t="s">
        <v>295</v>
      </c>
      <c r="Z21" s="102" t="s">
        <v>613</v>
      </c>
      <c r="AD21" s="92" t="s">
        <v>614</v>
      </c>
      <c r="AF21" s="92" t="str">
        <f t="shared" si="0"/>
        <v xml:space="preserve">F2MS1 - FAB WFT KNT 90.5% CT 2%METLIC YRN7%SP   </v>
      </c>
      <c r="AG21" s="92" t="s">
        <v>615</v>
      </c>
      <c r="AH21" s="92" t="s">
        <v>616</v>
      </c>
      <c r="AJ21" s="92" t="s">
        <v>4056</v>
      </c>
      <c r="AL21" s="93" t="s">
        <v>617</v>
      </c>
      <c r="AM21" s="92" t="s">
        <v>618</v>
      </c>
      <c r="AU21" s="27" t="s">
        <v>548</v>
      </c>
      <c r="AW21" s="103" t="s">
        <v>620</v>
      </c>
      <c r="BC21" s="11" t="s">
        <v>4467</v>
      </c>
      <c r="BD21" s="11"/>
      <c r="BE21" s="11"/>
      <c r="BG21" s="28" t="s">
        <v>463</v>
      </c>
      <c r="BI21" s="92" t="s">
        <v>605</v>
      </c>
      <c r="BK21" s="103" t="s">
        <v>623</v>
      </c>
      <c r="BM21" s="103" t="s">
        <v>624</v>
      </c>
      <c r="BO21" s="103" t="s">
        <v>792</v>
      </c>
    </row>
    <row r="22" spans="1:71" x14ac:dyDescent="0.2">
      <c r="A22" s="105" t="s">
        <v>626</v>
      </c>
      <c r="B22" s="109"/>
      <c r="C22" s="110"/>
      <c r="D22" s="36"/>
      <c r="E22" s="105" t="s">
        <v>627</v>
      </c>
      <c r="F22" s="105" t="s">
        <v>627</v>
      </c>
      <c r="G22" s="107"/>
      <c r="H22" s="96"/>
      <c r="I22" s="105" t="s">
        <v>628</v>
      </c>
      <c r="N22" s="92" t="s">
        <v>629</v>
      </c>
      <c r="Y22" s="102" t="s">
        <v>295</v>
      </c>
      <c r="Z22" s="102" t="s">
        <v>630</v>
      </c>
      <c r="AD22" s="92" t="s">
        <v>631</v>
      </c>
      <c r="AF22" s="92" t="str">
        <f t="shared" si="0"/>
        <v xml:space="preserve">F2MS2 - FAB WFT KNT 91%CT 2%METLIC YRN7%SP      </v>
      </c>
      <c r="AG22" s="92" t="s">
        <v>632</v>
      </c>
      <c r="AH22" s="92" t="s">
        <v>633</v>
      </c>
      <c r="AJ22" s="92" t="s">
        <v>4057</v>
      </c>
      <c r="AL22" s="93" t="s">
        <v>634</v>
      </c>
      <c r="AM22" s="92" t="s">
        <v>635</v>
      </c>
      <c r="AU22" s="27" t="s">
        <v>566</v>
      </c>
      <c r="AW22" s="103" t="s">
        <v>4021</v>
      </c>
      <c r="BC22" s="11" t="s">
        <v>4468</v>
      </c>
      <c r="BD22" s="11"/>
      <c r="BE22" s="11"/>
      <c r="BG22" s="28" t="s">
        <v>484</v>
      </c>
      <c r="BI22" s="103" t="s">
        <v>622</v>
      </c>
      <c r="BO22" s="92" t="s">
        <v>801</v>
      </c>
    </row>
    <row r="23" spans="1:71" x14ac:dyDescent="0.2">
      <c r="A23" s="105" t="s">
        <v>641</v>
      </c>
      <c r="B23" s="109"/>
      <c r="C23" s="110"/>
      <c r="D23" s="36"/>
      <c r="E23" s="105" t="s">
        <v>642</v>
      </c>
      <c r="F23" s="105" t="s">
        <v>642</v>
      </c>
      <c r="G23" s="107"/>
      <c r="H23" s="96"/>
      <c r="I23" s="118" t="s">
        <v>643</v>
      </c>
      <c r="N23" s="92" t="s">
        <v>644</v>
      </c>
      <c r="Y23" s="102" t="s">
        <v>295</v>
      </c>
      <c r="Z23" s="102" t="s">
        <v>645</v>
      </c>
      <c r="AD23" s="92" t="s">
        <v>646</v>
      </c>
      <c r="AF23" s="92" t="str">
        <f t="shared" si="0"/>
        <v xml:space="preserve">F3HNY - FAB WRP KNT 100% NYL                    </v>
      </c>
      <c r="AG23" s="92" t="s">
        <v>647</v>
      </c>
      <c r="AH23" s="92" t="s">
        <v>648</v>
      </c>
      <c r="AJ23" s="92" t="s">
        <v>4058</v>
      </c>
      <c r="AL23" s="93" t="s">
        <v>649</v>
      </c>
      <c r="AM23" s="92" t="s">
        <v>650</v>
      </c>
      <c r="AU23" s="27" t="s">
        <v>585</v>
      </c>
      <c r="AW23" s="27" t="s">
        <v>637</v>
      </c>
      <c r="BC23" s="11" t="s">
        <v>4469</v>
      </c>
      <c r="BD23" s="11"/>
      <c r="BE23" s="11"/>
      <c r="BG23" s="28" t="s">
        <v>502</v>
      </c>
      <c r="BI23" s="92" t="s">
        <v>639</v>
      </c>
    </row>
    <row r="24" spans="1:71" x14ac:dyDescent="0.2">
      <c r="A24" s="105" t="s">
        <v>655</v>
      </c>
      <c r="F24" s="28"/>
      <c r="G24" s="107"/>
      <c r="H24" s="96"/>
      <c r="I24" s="105" t="s">
        <v>656</v>
      </c>
      <c r="N24" s="92" t="s">
        <v>657</v>
      </c>
      <c r="Y24" s="102" t="s">
        <v>322</v>
      </c>
      <c r="Z24" s="102" t="s">
        <v>658</v>
      </c>
      <c r="AD24" s="92" t="s">
        <v>659</v>
      </c>
      <c r="AF24" s="92" t="str">
        <f t="shared" si="0"/>
        <v xml:space="preserve">F3HNZ - FAB WRP KNT 90%/10% NYL/SPN             </v>
      </c>
      <c r="AG24" s="92" t="s">
        <v>660</v>
      </c>
      <c r="AH24" s="92" t="s">
        <v>661</v>
      </c>
      <c r="AJ24" s="92" t="s">
        <v>4059</v>
      </c>
      <c r="AL24" s="93" t="s">
        <v>662</v>
      </c>
      <c r="AM24" s="92" t="s">
        <v>663</v>
      </c>
      <c r="AU24" s="27" t="s">
        <v>602</v>
      </c>
      <c r="AW24" s="103" t="s">
        <v>652</v>
      </c>
      <c r="BC24" s="11" t="s">
        <v>406</v>
      </c>
      <c r="BD24" s="11"/>
      <c r="BE24" s="11"/>
      <c r="BG24" s="28" t="s">
        <v>667</v>
      </c>
      <c r="BI24" s="92" t="s">
        <v>654</v>
      </c>
    </row>
    <row r="25" spans="1:71" x14ac:dyDescent="0.2">
      <c r="A25" s="105" t="s">
        <v>670</v>
      </c>
      <c r="F25" s="28"/>
      <c r="G25" s="107"/>
      <c r="H25" s="96"/>
      <c r="I25" s="118" t="s">
        <v>671</v>
      </c>
      <c r="N25" s="92" t="s">
        <v>672</v>
      </c>
      <c r="Y25" s="102" t="s">
        <v>322</v>
      </c>
      <c r="Z25" s="102" t="s">
        <v>673</v>
      </c>
      <c r="AF25" s="92" t="str">
        <f t="shared" si="0"/>
        <v xml:space="preserve">F3NS1 - FAB WRP KNT 94/6% NYL/SP                </v>
      </c>
      <c r="AG25" s="92" t="s">
        <v>674</v>
      </c>
      <c r="AH25" s="92" t="s">
        <v>675</v>
      </c>
      <c r="AJ25" s="92" t="s">
        <v>4060</v>
      </c>
      <c r="AL25" s="93" t="s">
        <v>676</v>
      </c>
      <c r="AM25" s="92" t="s">
        <v>677</v>
      </c>
      <c r="AU25" s="92" t="s">
        <v>619</v>
      </c>
      <c r="AW25" s="27" t="s">
        <v>665</v>
      </c>
      <c r="BC25" s="11" t="s">
        <v>4470</v>
      </c>
      <c r="BD25" s="11"/>
      <c r="BE25" s="11"/>
      <c r="BG25" s="28" t="s">
        <v>680</v>
      </c>
      <c r="BI25" s="92" t="s">
        <v>668</v>
      </c>
    </row>
    <row r="26" spans="1:71" x14ac:dyDescent="0.2">
      <c r="A26" s="105" t="s">
        <v>683</v>
      </c>
      <c r="F26" s="28"/>
      <c r="G26" s="107"/>
      <c r="H26" s="96"/>
      <c r="I26" s="105" t="s">
        <v>684</v>
      </c>
      <c r="N26" s="92" t="s">
        <v>685</v>
      </c>
      <c r="Y26" s="102" t="s">
        <v>322</v>
      </c>
      <c r="Z26" s="102" t="s">
        <v>686</v>
      </c>
      <c r="AF26" s="92" t="str">
        <f t="shared" si="0"/>
        <v xml:space="preserve">F3NS2 - FAB WRP KNT 87/13% NYL/SP               </v>
      </c>
      <c r="AG26" s="92" t="s">
        <v>687</v>
      </c>
      <c r="AH26" s="92" t="s">
        <v>688</v>
      </c>
      <c r="AJ26" s="92" t="s">
        <v>4061</v>
      </c>
      <c r="AL26" s="93" t="s">
        <v>689</v>
      </c>
      <c r="AM26" s="92" t="s">
        <v>690</v>
      </c>
      <c r="AU26" s="27" t="s">
        <v>636</v>
      </c>
      <c r="AW26" s="27" t="s">
        <v>692</v>
      </c>
      <c r="BC26" s="36" t="s">
        <v>430</v>
      </c>
      <c r="BD26" s="36"/>
      <c r="BE26" s="36"/>
      <c r="BG26" s="28" t="s">
        <v>520</v>
      </c>
      <c r="BI26" s="92" t="s">
        <v>681</v>
      </c>
    </row>
    <row r="27" spans="1:71" x14ac:dyDescent="0.2">
      <c r="A27" s="105" t="s">
        <v>695</v>
      </c>
      <c r="F27" s="28"/>
      <c r="G27" s="107"/>
      <c r="H27" s="96"/>
      <c r="Y27" s="102" t="s">
        <v>322</v>
      </c>
      <c r="Z27" s="102" t="s">
        <v>696</v>
      </c>
      <c r="AF27" s="92" t="str">
        <f t="shared" si="0"/>
        <v xml:space="preserve">F3NS3 - FAB WRP KNT 86/14% NYL/SP               </v>
      </c>
      <c r="AG27" s="92" t="s">
        <v>697</v>
      </c>
      <c r="AH27" s="92" t="s">
        <v>698</v>
      </c>
      <c r="AJ27" s="92" t="s">
        <v>4062</v>
      </c>
      <c r="AL27" s="93" t="s">
        <v>699</v>
      </c>
      <c r="AM27" s="92" t="s">
        <v>700</v>
      </c>
      <c r="AU27" s="92" t="s">
        <v>651</v>
      </c>
      <c r="AW27" s="103" t="s">
        <v>702</v>
      </c>
      <c r="BC27" s="36" t="s">
        <v>454</v>
      </c>
      <c r="BD27" s="36"/>
      <c r="BE27" s="36"/>
      <c r="BG27" s="28" t="s">
        <v>704</v>
      </c>
      <c r="BI27" s="103" t="s">
        <v>694</v>
      </c>
    </row>
    <row r="28" spans="1:71" x14ac:dyDescent="0.2">
      <c r="A28" s="105" t="s">
        <v>707</v>
      </c>
      <c r="F28" s="28"/>
      <c r="G28" s="121"/>
      <c r="H28" s="96"/>
      <c r="Y28" s="102" t="s">
        <v>322</v>
      </c>
      <c r="Z28" s="102" t="s">
        <v>708</v>
      </c>
      <c r="AF28" s="92" t="str">
        <f t="shared" si="0"/>
        <v xml:space="preserve">F3NS4 - FAB WRP KNT 85/15% NYL/SP               </v>
      </c>
      <c r="AG28" s="92" t="s">
        <v>709</v>
      </c>
      <c r="AH28" s="92" t="s">
        <v>710</v>
      </c>
      <c r="AJ28" s="92" t="s">
        <v>4063</v>
      </c>
      <c r="AL28" s="93" t="s">
        <v>711</v>
      </c>
      <c r="AM28" s="92" t="s">
        <v>712</v>
      </c>
      <c r="AU28" s="92" t="s">
        <v>664</v>
      </c>
      <c r="AW28" s="103" t="s">
        <v>714</v>
      </c>
      <c r="BC28" s="92" t="s">
        <v>4471</v>
      </c>
      <c r="BG28" s="28" t="s">
        <v>539</v>
      </c>
      <c r="BI28" s="92" t="s">
        <v>705</v>
      </c>
    </row>
    <row r="29" spans="1:71" x14ac:dyDescent="0.2">
      <c r="A29" s="105" t="s">
        <v>718</v>
      </c>
      <c r="F29" s="28"/>
      <c r="G29" s="107"/>
      <c r="H29" s="96"/>
      <c r="Y29" s="102" t="s">
        <v>322</v>
      </c>
      <c r="Z29" s="102" t="s">
        <v>719</v>
      </c>
      <c r="AF29" s="92" t="str">
        <f t="shared" si="0"/>
        <v xml:space="preserve">F3NS5 - FAB WRP KNT 86/14% POLY/SP              </v>
      </c>
      <c r="AG29" s="92" t="s">
        <v>720</v>
      </c>
      <c r="AH29" s="92" t="s">
        <v>721</v>
      </c>
      <c r="AJ29" s="92" t="s">
        <v>4064</v>
      </c>
      <c r="AL29" s="93" t="s">
        <v>722</v>
      </c>
      <c r="AM29" s="92" t="s">
        <v>723</v>
      </c>
      <c r="AU29" s="27" t="s">
        <v>678</v>
      </c>
      <c r="AW29" s="103" t="s">
        <v>725</v>
      </c>
      <c r="BC29" s="92" t="s">
        <v>4472</v>
      </c>
      <c r="BG29" s="28" t="s">
        <v>557</v>
      </c>
      <c r="BI29" s="92" t="s">
        <v>716</v>
      </c>
    </row>
    <row r="30" spans="1:71" x14ac:dyDescent="0.2">
      <c r="A30" s="105" t="s">
        <v>728</v>
      </c>
      <c r="F30" s="28"/>
      <c r="G30" s="121"/>
      <c r="H30" s="29"/>
      <c r="Y30" s="102" t="s">
        <v>322</v>
      </c>
      <c r="Z30" s="102" t="s">
        <v>729</v>
      </c>
      <c r="AF30" s="92" t="str">
        <f t="shared" si="0"/>
        <v xml:space="preserve">F3NS6 - FAB WRP KNT 92/8% POLY/SP               </v>
      </c>
      <c r="AG30" s="92" t="s">
        <v>730</v>
      </c>
      <c r="AH30" s="92" t="s">
        <v>731</v>
      </c>
      <c r="AJ30" s="92" t="s">
        <v>4065</v>
      </c>
      <c r="AL30" s="93" t="s">
        <v>732</v>
      </c>
      <c r="AM30" s="92" t="s">
        <v>733</v>
      </c>
      <c r="AU30" s="27" t="s">
        <v>691</v>
      </c>
      <c r="AW30" s="103" t="s">
        <v>735</v>
      </c>
      <c r="BC30" s="92" t="s">
        <v>4473</v>
      </c>
      <c r="BG30" s="28" t="s">
        <v>576</v>
      </c>
      <c r="BI30" s="92" t="s">
        <v>727</v>
      </c>
    </row>
    <row r="31" spans="1:71" x14ac:dyDescent="0.2">
      <c r="A31" s="105" t="s">
        <v>739</v>
      </c>
      <c r="F31" s="28"/>
      <c r="G31" s="121"/>
      <c r="H31" s="29"/>
      <c r="Y31" s="102" t="s">
        <v>322</v>
      </c>
      <c r="Z31" s="102" t="s">
        <v>740</v>
      </c>
      <c r="AF31" s="92" t="str">
        <f t="shared" si="0"/>
        <v xml:space="preserve">F3NS7 - FAB WRP KNT 92/8% NYL/SP                </v>
      </c>
      <c r="AG31" s="92" t="s">
        <v>741</v>
      </c>
      <c r="AH31" s="92" t="s">
        <v>742</v>
      </c>
      <c r="AJ31" s="92" t="s">
        <v>4066</v>
      </c>
      <c r="AL31" s="93" t="s">
        <v>743</v>
      </c>
      <c r="AM31" s="92" t="s">
        <v>744</v>
      </c>
      <c r="AU31" s="27" t="s">
        <v>701</v>
      </c>
      <c r="AW31" s="103" t="s">
        <v>746</v>
      </c>
      <c r="BC31" s="92" t="s">
        <v>975</v>
      </c>
      <c r="BG31" s="28" t="s">
        <v>748</v>
      </c>
      <c r="BI31" s="92" t="s">
        <v>737</v>
      </c>
    </row>
    <row r="32" spans="1:71" x14ac:dyDescent="0.2">
      <c r="A32" s="105" t="s">
        <v>751</v>
      </c>
      <c r="F32" s="28"/>
      <c r="G32" s="121"/>
      <c r="H32" s="29"/>
      <c r="Y32" s="102" t="s">
        <v>322</v>
      </c>
      <c r="Z32" s="102" t="s">
        <v>752</v>
      </c>
      <c r="AF32" s="92" t="str">
        <f t="shared" si="0"/>
        <v xml:space="preserve">F3NS8 - FAB WRP KNT 72/28% POLY/SP              </v>
      </c>
      <c r="AG32" s="92" t="s">
        <v>753</v>
      </c>
      <c r="AH32" s="92" t="s">
        <v>754</v>
      </c>
      <c r="AJ32" s="92" t="s">
        <v>4067</v>
      </c>
      <c r="AL32" s="93" t="s">
        <v>755</v>
      </c>
      <c r="AM32" s="92" t="s">
        <v>756</v>
      </c>
      <c r="AU32" s="27" t="s">
        <v>713</v>
      </c>
      <c r="AW32" s="103" t="s">
        <v>758</v>
      </c>
      <c r="BC32" s="92" t="s">
        <v>970</v>
      </c>
      <c r="BG32" s="92" t="s">
        <v>760</v>
      </c>
      <c r="BI32" s="92" t="s">
        <v>749</v>
      </c>
    </row>
    <row r="33" spans="1:61" x14ac:dyDescent="0.2">
      <c r="A33" s="105" t="s">
        <v>762</v>
      </c>
      <c r="F33" s="28"/>
      <c r="G33" s="121"/>
      <c r="H33" s="29"/>
      <c r="Y33" s="102" t="s">
        <v>322</v>
      </c>
      <c r="Z33" s="102" t="s">
        <v>763</v>
      </c>
      <c r="AF33" s="92" t="str">
        <f t="shared" si="0"/>
        <v xml:space="preserve">F3NS9 - FAB WRP KNT 79/21% NYL/SP               </v>
      </c>
      <c r="AG33" s="92" t="s">
        <v>764</v>
      </c>
      <c r="AH33" s="92" t="s">
        <v>765</v>
      </c>
      <c r="AJ33" s="92" t="s">
        <v>4068</v>
      </c>
      <c r="AL33" s="93" t="s">
        <v>766</v>
      </c>
      <c r="AM33" s="92" t="s">
        <v>767</v>
      </c>
      <c r="AU33" s="103" t="s">
        <v>724</v>
      </c>
      <c r="AW33" s="103" t="s">
        <v>769</v>
      </c>
      <c r="BC33" s="92" t="s">
        <v>475</v>
      </c>
      <c r="BG33" s="28" t="s">
        <v>611</v>
      </c>
      <c r="BI33" s="103" t="s">
        <v>761</v>
      </c>
    </row>
    <row r="34" spans="1:61" x14ac:dyDescent="0.2">
      <c r="A34" s="105" t="s">
        <v>773</v>
      </c>
      <c r="F34" s="28"/>
      <c r="G34" s="96"/>
      <c r="H34" s="29"/>
      <c r="Y34" s="102" t="s">
        <v>322</v>
      </c>
      <c r="Z34" s="102" t="s">
        <v>774</v>
      </c>
      <c r="AF34" s="92" t="str">
        <f t="shared" si="0"/>
        <v xml:space="preserve">F3NT1 - FAB WRP KNT 82/18% NYL/SP               </v>
      </c>
      <c r="AG34" s="92" t="s">
        <v>775</v>
      </c>
      <c r="AH34" s="92" t="s">
        <v>776</v>
      </c>
      <c r="AJ34" s="92" t="s">
        <v>4069</v>
      </c>
      <c r="AL34" s="93" t="s">
        <v>777</v>
      </c>
      <c r="AM34" s="92" t="s">
        <v>778</v>
      </c>
      <c r="AU34" s="92" t="s">
        <v>734</v>
      </c>
      <c r="AW34" s="103" t="s">
        <v>780</v>
      </c>
      <c r="BC34" s="92" t="s">
        <v>4474</v>
      </c>
      <c r="BG34" s="28" t="s">
        <v>628</v>
      </c>
      <c r="BI34" s="92" t="s">
        <v>771</v>
      </c>
    </row>
    <row r="35" spans="1:61" x14ac:dyDescent="0.2">
      <c r="F35" s="28"/>
      <c r="G35" s="29"/>
      <c r="H35" s="29"/>
      <c r="Y35" s="102" t="s">
        <v>322</v>
      </c>
      <c r="Z35" s="102" t="s">
        <v>784</v>
      </c>
      <c r="AF35" s="92" t="str">
        <f t="shared" si="0"/>
        <v xml:space="preserve">F3NT2 - FAB WRP KNT 100% POLY                   </v>
      </c>
      <c r="AG35" s="92" t="s">
        <v>785</v>
      </c>
      <c r="AH35" s="92" t="s">
        <v>786</v>
      </c>
      <c r="AJ35" s="92" t="s">
        <v>4070</v>
      </c>
      <c r="AL35" s="93" t="s">
        <v>787</v>
      </c>
      <c r="AM35" s="92" t="s">
        <v>788</v>
      </c>
      <c r="AU35" s="27" t="s">
        <v>745</v>
      </c>
      <c r="AW35" s="103" t="s">
        <v>642</v>
      </c>
      <c r="BC35" s="92" t="s">
        <v>4030</v>
      </c>
      <c r="BG35" s="28" t="s">
        <v>643</v>
      </c>
      <c r="BI35" s="92" t="s">
        <v>782</v>
      </c>
    </row>
    <row r="36" spans="1:61" x14ac:dyDescent="0.2">
      <c r="F36" s="28"/>
      <c r="G36" s="29"/>
      <c r="H36" s="29"/>
      <c r="Y36" s="102" t="s">
        <v>322</v>
      </c>
      <c r="Z36" s="102" t="s">
        <v>793</v>
      </c>
      <c r="AF36" s="92" t="str">
        <f t="shared" si="0"/>
        <v xml:space="preserve">F4CL1 - FAB FLAT KNIT 93/7% COTTTON/LYC         </v>
      </c>
      <c r="AG36" s="92" t="s">
        <v>794</v>
      </c>
      <c r="AH36" s="92" t="s">
        <v>795</v>
      </c>
      <c r="AJ36" s="92" t="s">
        <v>4071</v>
      </c>
      <c r="AL36" s="93" t="s">
        <v>796</v>
      </c>
      <c r="AM36" s="92" t="s">
        <v>797</v>
      </c>
      <c r="AU36" s="27" t="s">
        <v>757</v>
      </c>
      <c r="AW36" s="103" t="s">
        <v>808</v>
      </c>
      <c r="BC36" s="92" t="s">
        <v>4475</v>
      </c>
      <c r="BG36" s="28" t="s">
        <v>656</v>
      </c>
      <c r="BI36" s="103" t="s">
        <v>791</v>
      </c>
    </row>
    <row r="37" spans="1:61" x14ac:dyDescent="0.2">
      <c r="F37" s="28"/>
      <c r="G37" s="29"/>
      <c r="H37" s="29"/>
      <c r="Y37" s="102" t="s">
        <v>322</v>
      </c>
      <c r="Z37" s="102" t="s">
        <v>802</v>
      </c>
      <c r="AF37" s="92" t="str">
        <f t="shared" si="0"/>
        <v xml:space="preserve">F4CL2 - FAB FLAT KNIT 94/6% CT/LYC              </v>
      </c>
      <c r="AG37" s="92" t="s">
        <v>803</v>
      </c>
      <c r="AH37" s="92" t="s">
        <v>804</v>
      </c>
      <c r="AJ37" s="92" t="s">
        <v>4072</v>
      </c>
      <c r="AL37" s="93" t="s">
        <v>805</v>
      </c>
      <c r="AM37" s="92" t="s">
        <v>806</v>
      </c>
      <c r="AU37" s="27" t="s">
        <v>768</v>
      </c>
      <c r="AW37" s="103" t="s">
        <v>792</v>
      </c>
      <c r="BC37" s="92" t="s">
        <v>4476</v>
      </c>
      <c r="BG37" s="28" t="s">
        <v>810</v>
      </c>
      <c r="BI37" s="92" t="s">
        <v>800</v>
      </c>
    </row>
    <row r="38" spans="1:61" x14ac:dyDescent="0.2">
      <c r="F38" s="28"/>
      <c r="G38" s="29"/>
      <c r="H38" s="29"/>
      <c r="Y38" s="102" t="s">
        <v>322</v>
      </c>
      <c r="Z38" s="102" t="s">
        <v>812</v>
      </c>
      <c r="AF38" s="92" t="str">
        <f t="shared" si="0"/>
        <v xml:space="preserve">F4CL3 - FAB FLAT KNIT 95/5% CT/LYC              </v>
      </c>
      <c r="AG38" s="92" t="s">
        <v>813</v>
      </c>
      <c r="AH38" s="92" t="s">
        <v>814</v>
      </c>
      <c r="AJ38" s="92" t="s">
        <v>4073</v>
      </c>
      <c r="AL38" s="93" t="s">
        <v>815</v>
      </c>
      <c r="AM38" s="92" t="s">
        <v>816</v>
      </c>
      <c r="AU38" s="27" t="s">
        <v>779</v>
      </c>
      <c r="AW38" s="103"/>
      <c r="BC38" s="92" t="s">
        <v>4036</v>
      </c>
      <c r="BG38" s="28" t="s">
        <v>819</v>
      </c>
      <c r="BI38" s="92" t="s">
        <v>811</v>
      </c>
    </row>
    <row r="39" spans="1:61" x14ac:dyDescent="0.2">
      <c r="F39" s="28"/>
      <c r="G39" s="29"/>
      <c r="H39" s="29"/>
      <c r="Y39" s="102" t="s">
        <v>322</v>
      </c>
      <c r="Z39" s="102" t="s">
        <v>821</v>
      </c>
      <c r="AF39" s="92" t="str">
        <f t="shared" si="0"/>
        <v xml:space="preserve">F4CS2 - FAB FLAT KNIT 93/7% COTTTON/SP          </v>
      </c>
      <c r="AG39" s="92" t="s">
        <v>822</v>
      </c>
      <c r="AH39" s="92" t="s">
        <v>823</v>
      </c>
      <c r="AJ39" s="92" t="s">
        <v>4074</v>
      </c>
      <c r="AL39" s="93" t="s">
        <v>824</v>
      </c>
      <c r="AM39" s="92" t="s">
        <v>825</v>
      </c>
      <c r="AU39" s="27" t="s">
        <v>789</v>
      </c>
      <c r="AW39" s="103"/>
      <c r="BC39" s="92" t="s">
        <v>495</v>
      </c>
      <c r="BG39" s="28" t="s">
        <v>828</v>
      </c>
      <c r="BI39" s="92" t="s">
        <v>820</v>
      </c>
    </row>
    <row r="40" spans="1:61" x14ac:dyDescent="0.2">
      <c r="F40" s="28"/>
      <c r="G40" s="29"/>
      <c r="H40" s="29"/>
      <c r="Y40" s="102" t="s">
        <v>322</v>
      </c>
      <c r="Z40" s="102" t="s">
        <v>830</v>
      </c>
      <c r="AF40" s="92" t="str">
        <f t="shared" si="0"/>
        <v xml:space="preserve">F4CS3 - FAB FLAT KNIT 94/6% CT/SP               </v>
      </c>
      <c r="AG40" s="92" t="s">
        <v>831</v>
      </c>
      <c r="AH40" s="92" t="s">
        <v>832</v>
      </c>
      <c r="AJ40" s="92" t="s">
        <v>4075</v>
      </c>
      <c r="AL40" s="93" t="s">
        <v>833</v>
      </c>
      <c r="AM40" s="92" t="s">
        <v>834</v>
      </c>
      <c r="AU40" s="92" t="s">
        <v>798</v>
      </c>
      <c r="AW40" s="103"/>
      <c r="BC40" s="92" t="s">
        <v>955</v>
      </c>
      <c r="BG40" s="28" t="s">
        <v>837</v>
      </c>
      <c r="BI40" s="103" t="s">
        <v>829</v>
      </c>
    </row>
    <row r="41" spans="1:61" x14ac:dyDescent="0.2">
      <c r="F41" s="28"/>
      <c r="G41" s="29"/>
      <c r="H41" s="29"/>
      <c r="Y41" s="102" t="s">
        <v>322</v>
      </c>
      <c r="Z41" s="102" t="s">
        <v>839</v>
      </c>
      <c r="AF41" s="92" t="str">
        <f t="shared" si="0"/>
        <v xml:space="preserve">F4CS4 - FAB FLAT KNIT 95/5% CT/SP               </v>
      </c>
      <c r="AG41" s="92" t="s">
        <v>840</v>
      </c>
      <c r="AH41" s="92" t="s">
        <v>841</v>
      </c>
      <c r="AJ41" s="92" t="s">
        <v>4076</v>
      </c>
      <c r="AL41" s="93" t="s">
        <v>842</v>
      </c>
      <c r="AM41" s="92" t="s">
        <v>843</v>
      </c>
      <c r="AU41" s="27" t="s">
        <v>807</v>
      </c>
      <c r="AW41" s="103"/>
      <c r="BC41" s="92" t="s">
        <v>4477</v>
      </c>
      <c r="BG41" s="28" t="s">
        <v>671</v>
      </c>
      <c r="BI41" s="92" t="s">
        <v>838</v>
      </c>
    </row>
    <row r="42" spans="1:61" x14ac:dyDescent="0.2">
      <c r="F42" s="28"/>
      <c r="G42" s="29"/>
      <c r="H42" s="29"/>
      <c r="Y42" s="102" t="s">
        <v>322</v>
      </c>
      <c r="Z42" s="102" t="s">
        <v>847</v>
      </c>
      <c r="AF42" s="92" t="str">
        <f t="shared" si="0"/>
        <v xml:space="preserve">F4CS5 - FAB FLAT KNIT 95/5% ORGANIC CT/SP       </v>
      </c>
      <c r="AG42" s="92" t="s">
        <v>848</v>
      </c>
      <c r="AH42" s="92" t="s">
        <v>849</v>
      </c>
      <c r="AJ42" s="92" t="s">
        <v>4077</v>
      </c>
      <c r="AL42" s="93" t="s">
        <v>850</v>
      </c>
      <c r="AM42" s="92" t="s">
        <v>851</v>
      </c>
      <c r="AU42" s="92" t="s">
        <v>817</v>
      </c>
      <c r="AW42" s="103"/>
      <c r="BC42" s="92" t="s">
        <v>185</v>
      </c>
      <c r="BG42" s="28" t="s">
        <v>684</v>
      </c>
      <c r="BI42" s="92" t="s">
        <v>846</v>
      </c>
    </row>
    <row r="43" spans="1:61" x14ac:dyDescent="0.2">
      <c r="F43" s="28"/>
      <c r="AF43" s="92" t="str">
        <f t="shared" si="0"/>
        <v xml:space="preserve">F4HCT - FAB FLAT KNIT 100% CT                   </v>
      </c>
      <c r="AG43" s="92" t="s">
        <v>855</v>
      </c>
      <c r="AH43" s="92" t="s">
        <v>856</v>
      </c>
      <c r="AJ43" s="92" t="s">
        <v>4078</v>
      </c>
      <c r="AL43" s="93" t="s">
        <v>857</v>
      </c>
      <c r="AM43" s="92" t="s">
        <v>858</v>
      </c>
      <c r="AU43" s="27" t="s">
        <v>826</v>
      </c>
      <c r="AW43" s="103"/>
      <c r="BC43" s="92" t="s">
        <v>513</v>
      </c>
      <c r="BI43" s="92" t="s">
        <v>854</v>
      </c>
    </row>
    <row r="44" spans="1:61" x14ac:dyDescent="0.2">
      <c r="F44" s="28"/>
      <c r="AJ44" s="92" t="s">
        <v>4079</v>
      </c>
      <c r="AL44" s="93" t="s">
        <v>862</v>
      </c>
      <c r="AM44" s="92" t="s">
        <v>863</v>
      </c>
      <c r="AU44" s="92" t="s">
        <v>835</v>
      </c>
      <c r="AW44" s="103"/>
      <c r="BC44" s="92" t="s">
        <v>531</v>
      </c>
      <c r="BI44" s="92" t="s">
        <v>861</v>
      </c>
    </row>
    <row r="45" spans="1:61" x14ac:dyDescent="0.2">
      <c r="F45" s="28"/>
      <c r="AJ45" s="92" t="s">
        <v>4080</v>
      </c>
      <c r="AL45" s="93" t="s">
        <v>867</v>
      </c>
      <c r="AM45" s="92" t="s">
        <v>868</v>
      </c>
      <c r="AU45" s="92" t="s">
        <v>844</v>
      </c>
      <c r="AW45" s="103"/>
      <c r="BC45" s="92" t="s">
        <v>980</v>
      </c>
      <c r="BI45" s="92" t="s">
        <v>866</v>
      </c>
    </row>
    <row r="46" spans="1:61" x14ac:dyDescent="0.2">
      <c r="F46" s="28"/>
      <c r="AJ46" s="92" t="s">
        <v>4081</v>
      </c>
      <c r="AL46" s="93" t="s">
        <v>872</v>
      </c>
      <c r="AM46" s="92" t="s">
        <v>873</v>
      </c>
      <c r="AU46" s="92" t="s">
        <v>852</v>
      </c>
      <c r="AW46" s="103"/>
      <c r="BC46" s="92" t="s">
        <v>4478</v>
      </c>
      <c r="BI46" s="92" t="s">
        <v>871</v>
      </c>
    </row>
    <row r="47" spans="1:61" x14ac:dyDescent="0.2">
      <c r="F47" s="28"/>
      <c r="AJ47" s="92" t="s">
        <v>4082</v>
      </c>
      <c r="AL47" s="93" t="s">
        <v>877</v>
      </c>
      <c r="AM47" s="92" t="s">
        <v>878</v>
      </c>
      <c r="AU47" s="92" t="s">
        <v>859</v>
      </c>
      <c r="AW47" s="103"/>
      <c r="BC47" s="92" t="s">
        <v>4479</v>
      </c>
      <c r="BI47" s="103" t="s">
        <v>876</v>
      </c>
    </row>
    <row r="48" spans="1:61" x14ac:dyDescent="0.2">
      <c r="F48" s="28"/>
      <c r="AJ48" s="92" t="s">
        <v>4083</v>
      </c>
      <c r="AL48" s="93" t="s">
        <v>882</v>
      </c>
      <c r="AM48" s="92" t="s">
        <v>883</v>
      </c>
      <c r="AU48" s="92" t="s">
        <v>864</v>
      </c>
      <c r="AW48" s="103"/>
      <c r="BC48" s="92" t="s">
        <v>550</v>
      </c>
      <c r="BI48" s="92" t="s">
        <v>881</v>
      </c>
    </row>
    <row r="49" spans="6:61" x14ac:dyDescent="0.2">
      <c r="F49" s="28"/>
      <c r="AJ49" s="92" t="s">
        <v>4084</v>
      </c>
      <c r="AL49" s="93" t="s">
        <v>887</v>
      </c>
      <c r="AM49" s="92" t="s">
        <v>888</v>
      </c>
      <c r="AU49" s="27" t="s">
        <v>869</v>
      </c>
      <c r="AW49" s="103"/>
      <c r="BC49" s="92" t="s">
        <v>4480</v>
      </c>
      <c r="BI49" s="92" t="s">
        <v>886</v>
      </c>
    </row>
    <row r="50" spans="6:61" x14ac:dyDescent="0.2">
      <c r="F50" s="28"/>
      <c r="AJ50" s="92" t="s">
        <v>4085</v>
      </c>
      <c r="AL50" s="93" t="s">
        <v>892</v>
      </c>
      <c r="AM50" s="92" t="s">
        <v>893</v>
      </c>
      <c r="AU50" s="27" t="s">
        <v>874</v>
      </c>
      <c r="AW50" s="103"/>
      <c r="BC50" s="92" t="s">
        <v>568</v>
      </c>
      <c r="BI50" s="92" t="s">
        <v>891</v>
      </c>
    </row>
    <row r="51" spans="6:61" x14ac:dyDescent="0.2">
      <c r="F51" s="28"/>
      <c r="AJ51" s="92" t="s">
        <v>4086</v>
      </c>
      <c r="AL51" s="93" t="s">
        <v>897</v>
      </c>
      <c r="AM51" s="92" t="s">
        <v>898</v>
      </c>
      <c r="AU51" s="92" t="s">
        <v>879</v>
      </c>
      <c r="AW51" s="103"/>
      <c r="BC51" s="92" t="s">
        <v>587</v>
      </c>
      <c r="BI51" s="92" t="s">
        <v>896</v>
      </c>
    </row>
    <row r="52" spans="6:61" x14ac:dyDescent="0.2">
      <c r="F52" s="28"/>
      <c r="AJ52" s="92" t="s">
        <v>4087</v>
      </c>
      <c r="AL52" s="93" t="s">
        <v>902</v>
      </c>
      <c r="AM52" s="92" t="s">
        <v>903</v>
      </c>
      <c r="AU52" s="92" t="s">
        <v>884</v>
      </c>
      <c r="AW52" s="103"/>
      <c r="BC52" s="92" t="s">
        <v>4481</v>
      </c>
      <c r="BI52" s="103" t="s">
        <v>901</v>
      </c>
    </row>
    <row r="53" spans="6:61" x14ac:dyDescent="0.2">
      <c r="F53" s="28"/>
      <c r="AJ53" s="92" t="s">
        <v>4088</v>
      </c>
      <c r="AL53" s="93" t="s">
        <v>907</v>
      </c>
      <c r="AM53" s="92" t="s">
        <v>908</v>
      </c>
      <c r="AU53" s="92" t="s">
        <v>889</v>
      </c>
      <c r="AW53" s="103"/>
      <c r="BC53" s="92" t="s">
        <v>4482</v>
      </c>
      <c r="BI53" s="92" t="s">
        <v>906</v>
      </c>
    </row>
    <row r="54" spans="6:61" x14ac:dyDescent="0.2">
      <c r="F54" s="28"/>
      <c r="AJ54" s="92" t="s">
        <v>4089</v>
      </c>
      <c r="AL54" s="93" t="s">
        <v>912</v>
      </c>
      <c r="AM54" s="92" t="s">
        <v>913</v>
      </c>
      <c r="AU54" s="27" t="s">
        <v>894</v>
      </c>
      <c r="AW54" s="103"/>
      <c r="BC54" s="92" t="s">
        <v>4483</v>
      </c>
      <c r="BI54" s="92" t="s">
        <v>911</v>
      </c>
    </row>
    <row r="55" spans="6:61" x14ac:dyDescent="0.2">
      <c r="F55" s="28"/>
      <c r="AJ55" s="92" t="s">
        <v>4090</v>
      </c>
      <c r="AL55" s="93" t="s">
        <v>917</v>
      </c>
      <c r="AM55" s="92" t="s">
        <v>918</v>
      </c>
      <c r="AU55" s="27" t="s">
        <v>899</v>
      </c>
      <c r="AW55" s="103"/>
      <c r="BC55" s="92" t="s">
        <v>4484</v>
      </c>
      <c r="BI55" s="92" t="s">
        <v>916</v>
      </c>
    </row>
    <row r="56" spans="6:61" x14ac:dyDescent="0.2">
      <c r="F56" s="28"/>
      <c r="AJ56" s="92" t="s">
        <v>4091</v>
      </c>
      <c r="AL56" s="93" t="s">
        <v>922</v>
      </c>
      <c r="AM56" s="92" t="s">
        <v>923</v>
      </c>
      <c r="AU56" s="92" t="s">
        <v>904</v>
      </c>
      <c r="AW56" s="103"/>
      <c r="BC56" s="92" t="s">
        <v>604</v>
      </c>
      <c r="BI56" s="103" t="s">
        <v>921</v>
      </c>
    </row>
    <row r="57" spans="6:61" x14ac:dyDescent="0.2">
      <c r="F57" s="28"/>
      <c r="AJ57" s="92" t="s">
        <v>4092</v>
      </c>
      <c r="AL57" s="93" t="s">
        <v>927</v>
      </c>
      <c r="AM57" s="92" t="s">
        <v>928</v>
      </c>
      <c r="AU57" s="92" t="s">
        <v>909</v>
      </c>
      <c r="AW57" s="103"/>
      <c r="BC57" s="92" t="s">
        <v>4485</v>
      </c>
      <c r="BI57" s="92" t="s">
        <v>926</v>
      </c>
    </row>
    <row r="58" spans="6:61" x14ac:dyDescent="0.2">
      <c r="F58" s="28"/>
      <c r="AJ58" s="92" t="s">
        <v>4093</v>
      </c>
      <c r="AL58" s="93" t="s">
        <v>932</v>
      </c>
      <c r="AM58" s="92" t="s">
        <v>933</v>
      </c>
      <c r="AU58" s="92" t="s">
        <v>914</v>
      </c>
      <c r="AW58" s="103"/>
      <c r="BC58" s="92" t="s">
        <v>621</v>
      </c>
      <c r="BI58" s="103" t="s">
        <v>931</v>
      </c>
    </row>
    <row r="59" spans="6:61" x14ac:dyDescent="0.2">
      <c r="F59" s="28"/>
      <c r="AJ59" s="92" t="s">
        <v>4094</v>
      </c>
      <c r="AL59" s="93" t="s">
        <v>937</v>
      </c>
      <c r="AM59" s="92" t="s">
        <v>938</v>
      </c>
      <c r="AU59" s="92" t="s">
        <v>919</v>
      </c>
      <c r="AW59" s="103"/>
      <c r="BC59" s="92" t="s">
        <v>638</v>
      </c>
      <c r="BI59" s="92" t="s">
        <v>936</v>
      </c>
    </row>
    <row r="60" spans="6:61" x14ac:dyDescent="0.2">
      <c r="F60" s="28"/>
      <c r="AJ60" s="92" t="s">
        <v>4095</v>
      </c>
      <c r="AL60" s="93" t="s">
        <v>942</v>
      </c>
      <c r="AM60" s="92" t="s">
        <v>943</v>
      </c>
      <c r="AU60" s="92" t="s">
        <v>924</v>
      </c>
      <c r="AW60" s="103"/>
      <c r="BC60" s="92" t="s">
        <v>4486</v>
      </c>
      <c r="BI60" s="92" t="s">
        <v>941</v>
      </c>
    </row>
    <row r="61" spans="6:61" x14ac:dyDescent="0.2">
      <c r="F61" s="28"/>
      <c r="AJ61" s="92" t="s">
        <v>4096</v>
      </c>
      <c r="AL61" s="93" t="s">
        <v>947</v>
      </c>
      <c r="AM61" s="92" t="s">
        <v>948</v>
      </c>
      <c r="AU61" s="92" t="s">
        <v>929</v>
      </c>
      <c r="AW61" s="103"/>
      <c r="BC61" s="92" t="s">
        <v>4487</v>
      </c>
      <c r="BI61" s="92" t="s">
        <v>946</v>
      </c>
    </row>
    <row r="62" spans="6:61" x14ac:dyDescent="0.2">
      <c r="F62" s="28"/>
      <c r="AJ62" s="92" t="s">
        <v>4097</v>
      </c>
      <c r="AL62" s="93" t="s">
        <v>952</v>
      </c>
      <c r="AM62" s="92" t="s">
        <v>953</v>
      </c>
      <c r="AU62" s="92" t="s">
        <v>934</v>
      </c>
      <c r="AW62" s="103"/>
      <c r="BC62" s="92" t="s">
        <v>653</v>
      </c>
      <c r="BI62" s="92" t="s">
        <v>951</v>
      </c>
    </row>
    <row r="63" spans="6:61" x14ac:dyDescent="0.2">
      <c r="F63" s="28"/>
      <c r="AJ63" s="92" t="s">
        <v>4098</v>
      </c>
      <c r="AL63" s="93" t="s">
        <v>957</v>
      </c>
      <c r="AM63" s="92" t="s">
        <v>958</v>
      </c>
      <c r="AU63" s="92" t="s">
        <v>939</v>
      </c>
      <c r="AW63" s="103"/>
      <c r="BC63" s="92" t="s">
        <v>4488</v>
      </c>
      <c r="BI63" s="92" t="s">
        <v>956</v>
      </c>
    </row>
    <row r="64" spans="6:61" x14ac:dyDescent="0.2">
      <c r="F64" s="28"/>
      <c r="AJ64" s="92" t="s">
        <v>4099</v>
      </c>
      <c r="AL64" s="93" t="s">
        <v>962</v>
      </c>
      <c r="AM64" s="92" t="s">
        <v>963</v>
      </c>
      <c r="AU64" s="92" t="s">
        <v>944</v>
      </c>
      <c r="AW64" s="103"/>
      <c r="BC64" s="92" t="s">
        <v>666</v>
      </c>
      <c r="BI64" s="92" t="s">
        <v>961</v>
      </c>
    </row>
    <row r="65" spans="6:61" x14ac:dyDescent="0.2">
      <c r="F65" s="28"/>
      <c r="AJ65" s="92" t="s">
        <v>4100</v>
      </c>
      <c r="AL65" s="93" t="s">
        <v>967</v>
      </c>
      <c r="AM65" s="92" t="s">
        <v>968</v>
      </c>
      <c r="AU65" s="92" t="s">
        <v>949</v>
      </c>
      <c r="AW65" s="103"/>
      <c r="BC65" s="92" t="s">
        <v>679</v>
      </c>
      <c r="BI65" s="92" t="s">
        <v>966</v>
      </c>
    </row>
    <row r="66" spans="6:61" x14ac:dyDescent="0.2">
      <c r="F66" s="28"/>
      <c r="AJ66" s="92" t="s">
        <v>4101</v>
      </c>
      <c r="AL66" s="93" t="s">
        <v>972</v>
      </c>
      <c r="AM66" s="92" t="s">
        <v>973</v>
      </c>
      <c r="AU66" s="92" t="s">
        <v>954</v>
      </c>
      <c r="AW66" s="103"/>
      <c r="BC66" s="92" t="s">
        <v>693</v>
      </c>
      <c r="BI66" s="103" t="s">
        <v>971</v>
      </c>
    </row>
    <row r="67" spans="6:61" x14ac:dyDescent="0.2">
      <c r="F67" s="28"/>
      <c r="AJ67" s="92" t="s">
        <v>4102</v>
      </c>
      <c r="AL67" s="93" t="s">
        <v>977</v>
      </c>
      <c r="AM67" s="92" t="s">
        <v>978</v>
      </c>
      <c r="AU67" s="92" t="s">
        <v>959</v>
      </c>
      <c r="AW67" s="103"/>
      <c r="BC67" s="92" t="s">
        <v>4489</v>
      </c>
      <c r="BI67" s="103" t="s">
        <v>976</v>
      </c>
    </row>
    <row r="68" spans="6:61" x14ac:dyDescent="0.2">
      <c r="F68" s="28"/>
      <c r="AJ68" s="92" t="s">
        <v>4103</v>
      </c>
      <c r="AL68" s="93" t="s">
        <v>982</v>
      </c>
      <c r="AM68" s="92" t="s">
        <v>983</v>
      </c>
      <c r="AU68" s="92" t="s">
        <v>964</v>
      </c>
      <c r="AW68" s="103"/>
      <c r="BC68" s="92" t="s">
        <v>4490</v>
      </c>
      <c r="BI68" s="92" t="s">
        <v>981</v>
      </c>
    </row>
    <row r="69" spans="6:61" x14ac:dyDescent="0.2">
      <c r="F69" s="28"/>
      <c r="AJ69" s="92" t="s">
        <v>4104</v>
      </c>
      <c r="AL69" s="93" t="s">
        <v>986</v>
      </c>
      <c r="AM69" s="92" t="s">
        <v>987</v>
      </c>
      <c r="AU69" s="92" t="s">
        <v>969</v>
      </c>
      <c r="AW69" s="103"/>
      <c r="BC69" s="92" t="s">
        <v>703</v>
      </c>
      <c r="BI69" s="92" t="s">
        <v>985</v>
      </c>
    </row>
    <row r="70" spans="6:61" x14ac:dyDescent="0.2">
      <c r="F70" s="28"/>
      <c r="AJ70" s="92" t="s">
        <v>4105</v>
      </c>
      <c r="AL70" s="93" t="s">
        <v>990</v>
      </c>
      <c r="AM70" s="92" t="s">
        <v>991</v>
      </c>
      <c r="AU70" s="92" t="s">
        <v>974</v>
      </c>
      <c r="AW70" s="103"/>
      <c r="BC70" s="92" t="s">
        <v>4491</v>
      </c>
      <c r="BI70" s="92" t="s">
        <v>4028</v>
      </c>
    </row>
    <row r="71" spans="6:61" x14ac:dyDescent="0.2">
      <c r="F71" s="28"/>
      <c r="AJ71" s="92" t="s">
        <v>4106</v>
      </c>
      <c r="AL71" s="93" t="s">
        <v>994</v>
      </c>
      <c r="AM71" s="92" t="s">
        <v>995</v>
      </c>
      <c r="AU71" s="92" t="s">
        <v>4027</v>
      </c>
      <c r="AW71" s="103"/>
      <c r="BC71" s="92" t="s">
        <v>4492</v>
      </c>
      <c r="BI71" s="103" t="s">
        <v>989</v>
      </c>
    </row>
    <row r="72" spans="6:61" x14ac:dyDescent="0.2">
      <c r="F72" s="28"/>
      <c r="AJ72" s="92" t="s">
        <v>4107</v>
      </c>
      <c r="AL72" s="93" t="s">
        <v>998</v>
      </c>
      <c r="AM72" s="92" t="s">
        <v>999</v>
      </c>
      <c r="AU72" s="92" t="s">
        <v>979</v>
      </c>
      <c r="AW72" s="103"/>
      <c r="BC72" s="92" t="s">
        <v>4493</v>
      </c>
      <c r="BI72" s="92" t="s">
        <v>993</v>
      </c>
    </row>
    <row r="73" spans="6:61" x14ac:dyDescent="0.2">
      <c r="F73" s="28"/>
      <c r="AJ73" s="92" t="s">
        <v>4108</v>
      </c>
      <c r="AL73" s="93" t="s">
        <v>1002</v>
      </c>
      <c r="AM73" s="92" t="s">
        <v>1003</v>
      </c>
      <c r="AU73" s="92" t="s">
        <v>984</v>
      </c>
      <c r="AW73" s="103"/>
      <c r="BC73" s="92" t="s">
        <v>715</v>
      </c>
      <c r="BI73" s="92" t="s">
        <v>997</v>
      </c>
    </row>
    <row r="74" spans="6:61" x14ac:dyDescent="0.2">
      <c r="F74" s="28"/>
      <c r="AJ74" s="92" t="s">
        <v>4109</v>
      </c>
      <c r="AL74" s="93" t="s">
        <v>1006</v>
      </c>
      <c r="AM74" s="92" t="s">
        <v>1007</v>
      </c>
      <c r="AU74" s="92" t="s">
        <v>988</v>
      </c>
      <c r="AW74" s="103"/>
      <c r="BC74" s="92" t="s">
        <v>4494</v>
      </c>
      <c r="BI74" s="92" t="s">
        <v>1001</v>
      </c>
    </row>
    <row r="75" spans="6:61" x14ac:dyDescent="0.2">
      <c r="F75" s="28"/>
      <c r="AJ75" s="92" t="s">
        <v>4110</v>
      </c>
      <c r="AL75" s="93" t="s">
        <v>1010</v>
      </c>
      <c r="AM75" s="92" t="s">
        <v>1011</v>
      </c>
      <c r="AU75" s="92" t="s">
        <v>992</v>
      </c>
      <c r="AW75" s="103"/>
      <c r="BC75" s="92" t="s">
        <v>4495</v>
      </c>
      <c r="BI75" s="103" t="s">
        <v>1005</v>
      </c>
    </row>
    <row r="76" spans="6:61" x14ac:dyDescent="0.2">
      <c r="F76" s="28"/>
      <c r="AJ76" s="92" t="s">
        <v>4111</v>
      </c>
      <c r="AL76" s="93" t="s">
        <v>1014</v>
      </c>
      <c r="AM76" s="92" t="s">
        <v>1015</v>
      </c>
      <c r="AU76" s="92" t="s">
        <v>996</v>
      </c>
      <c r="AW76" s="103"/>
      <c r="BC76" s="92" t="s">
        <v>726</v>
      </c>
      <c r="BI76" s="92" t="s">
        <v>1009</v>
      </c>
    </row>
    <row r="77" spans="6:61" x14ac:dyDescent="0.2">
      <c r="F77" s="28"/>
      <c r="AJ77" s="92" t="s">
        <v>4112</v>
      </c>
      <c r="AL77" s="93" t="s">
        <v>1018</v>
      </c>
      <c r="AM77" s="92" t="s">
        <v>1019</v>
      </c>
      <c r="AU77" s="92" t="s">
        <v>1000</v>
      </c>
      <c r="AW77" s="103"/>
      <c r="BC77" s="92" t="s">
        <v>736</v>
      </c>
      <c r="BI77" s="92" t="s">
        <v>1013</v>
      </c>
    </row>
    <row r="78" spans="6:61" x14ac:dyDescent="0.2">
      <c r="F78" s="28"/>
      <c r="AJ78" s="92" t="s">
        <v>4113</v>
      </c>
      <c r="AL78" s="93" t="s">
        <v>1022</v>
      </c>
      <c r="AM78" s="92" t="s">
        <v>1023</v>
      </c>
      <c r="AU78" s="92" t="s">
        <v>1004</v>
      </c>
      <c r="AW78" s="103"/>
      <c r="BC78" s="92" t="s">
        <v>747</v>
      </c>
      <c r="BI78" s="103" t="s">
        <v>1017</v>
      </c>
    </row>
    <row r="79" spans="6:61" x14ac:dyDescent="0.2">
      <c r="F79" s="28"/>
      <c r="AJ79" s="92" t="s">
        <v>4114</v>
      </c>
      <c r="AL79" s="93" t="s">
        <v>1026</v>
      </c>
      <c r="AM79" s="92" t="s">
        <v>1027</v>
      </c>
      <c r="AU79" s="92" t="s">
        <v>1008</v>
      </c>
      <c r="AW79" s="103"/>
      <c r="BC79" s="92" t="s">
        <v>759</v>
      </c>
      <c r="BI79" s="92" t="s">
        <v>1021</v>
      </c>
    </row>
    <row r="80" spans="6:61" x14ac:dyDescent="0.2">
      <c r="F80" s="28"/>
      <c r="AJ80" s="92" t="s">
        <v>4115</v>
      </c>
      <c r="AL80" s="93" t="s">
        <v>1030</v>
      </c>
      <c r="AM80" s="92" t="s">
        <v>1031</v>
      </c>
      <c r="AU80" s="27" t="s">
        <v>1012</v>
      </c>
      <c r="AW80" s="103"/>
      <c r="BC80" s="92" t="s">
        <v>4496</v>
      </c>
      <c r="BI80" s="92" t="s">
        <v>1025</v>
      </c>
    </row>
    <row r="81" spans="6:61" x14ac:dyDescent="0.2">
      <c r="F81" s="28"/>
      <c r="AJ81" s="92" t="s">
        <v>4116</v>
      </c>
      <c r="AL81" s="93" t="s">
        <v>1034</v>
      </c>
      <c r="AM81" s="92" t="s">
        <v>1035</v>
      </c>
      <c r="AU81" s="92" t="s">
        <v>1016</v>
      </c>
      <c r="AW81" s="103"/>
      <c r="BC81" s="92" t="s">
        <v>770</v>
      </c>
      <c r="BI81" s="92" t="s">
        <v>1029</v>
      </c>
    </row>
    <row r="82" spans="6:61" x14ac:dyDescent="0.2">
      <c r="F82" s="28"/>
      <c r="AJ82" s="92" t="s">
        <v>4117</v>
      </c>
      <c r="AL82" s="93" t="s">
        <v>1038</v>
      </c>
      <c r="AM82" s="92" t="s">
        <v>1039</v>
      </c>
      <c r="AU82" s="92" t="s">
        <v>1020</v>
      </c>
      <c r="AW82" s="103"/>
      <c r="BC82" s="92" t="s">
        <v>4497</v>
      </c>
      <c r="BI82" s="92" t="s">
        <v>1033</v>
      </c>
    </row>
    <row r="83" spans="6:61" x14ac:dyDescent="0.2">
      <c r="F83" s="28"/>
      <c r="AJ83" s="92" t="s">
        <v>4118</v>
      </c>
      <c r="AL83" s="93" t="s">
        <v>1042</v>
      </c>
      <c r="AM83" s="92" t="s">
        <v>1043</v>
      </c>
      <c r="AU83" s="92" t="s">
        <v>1024</v>
      </c>
      <c r="AW83" s="103"/>
      <c r="BC83" s="92" t="s">
        <v>781</v>
      </c>
      <c r="BI83" s="92" t="s">
        <v>1037</v>
      </c>
    </row>
    <row r="84" spans="6:61" x14ac:dyDescent="0.2">
      <c r="F84" s="28"/>
      <c r="AJ84" s="92" t="s">
        <v>4119</v>
      </c>
      <c r="AL84" s="93" t="s">
        <v>1046</v>
      </c>
      <c r="AM84" s="92" t="s">
        <v>1047</v>
      </c>
      <c r="AU84" s="92" t="s">
        <v>1028</v>
      </c>
      <c r="AW84" s="103"/>
      <c r="BC84" s="92" t="s">
        <v>4498</v>
      </c>
      <c r="BI84" s="103" t="s">
        <v>1041</v>
      </c>
    </row>
    <row r="85" spans="6:61" x14ac:dyDescent="0.2">
      <c r="F85" s="28"/>
      <c r="AJ85" s="92" t="s">
        <v>4120</v>
      </c>
      <c r="AL85" s="93" t="s">
        <v>1050</v>
      </c>
      <c r="AM85" s="92" t="s">
        <v>1051</v>
      </c>
      <c r="AU85" s="92" t="s">
        <v>1032</v>
      </c>
      <c r="AW85" s="103"/>
      <c r="BC85" s="92" t="s">
        <v>4499</v>
      </c>
      <c r="BI85" s="103" t="s">
        <v>1045</v>
      </c>
    </row>
    <row r="86" spans="6:61" x14ac:dyDescent="0.2">
      <c r="F86" s="28"/>
      <c r="AJ86" s="92" t="s">
        <v>4121</v>
      </c>
      <c r="AL86" s="93" t="s">
        <v>1054</v>
      </c>
      <c r="AM86" s="92" t="s">
        <v>1055</v>
      </c>
      <c r="AU86" s="92" t="s">
        <v>1036</v>
      </c>
      <c r="AW86" s="103"/>
      <c r="BC86" s="92" t="s">
        <v>4500</v>
      </c>
      <c r="BI86" s="92" t="s">
        <v>1049</v>
      </c>
    </row>
    <row r="87" spans="6:61" x14ac:dyDescent="0.2">
      <c r="F87" s="28"/>
      <c r="AJ87" s="92" t="s">
        <v>4122</v>
      </c>
      <c r="AL87" s="93" t="s">
        <v>1058</v>
      </c>
      <c r="AM87" s="92" t="s">
        <v>1059</v>
      </c>
      <c r="AU87" s="92" t="s">
        <v>1040</v>
      </c>
      <c r="AW87" s="103"/>
      <c r="BC87" s="92" t="s">
        <v>790</v>
      </c>
      <c r="BI87" s="92" t="s">
        <v>1053</v>
      </c>
    </row>
    <row r="88" spans="6:61" x14ac:dyDescent="0.2">
      <c r="F88" s="28"/>
      <c r="AJ88" s="92" t="s">
        <v>4123</v>
      </c>
      <c r="AL88" s="93" t="s">
        <v>1062</v>
      </c>
      <c r="AM88" s="92" t="s">
        <v>1063</v>
      </c>
      <c r="AU88" s="92" t="s">
        <v>4032</v>
      </c>
      <c r="AW88" s="103"/>
      <c r="BC88" s="92" t="s">
        <v>960</v>
      </c>
      <c r="BI88" s="92" t="s">
        <v>1057</v>
      </c>
    </row>
    <row r="89" spans="6:61" x14ac:dyDescent="0.2">
      <c r="F89" s="28"/>
      <c r="AJ89" s="92" t="s">
        <v>4124</v>
      </c>
      <c r="AL89" s="93" t="s">
        <v>1066</v>
      </c>
      <c r="AM89" s="92" t="s">
        <v>1067</v>
      </c>
      <c r="AU89" s="92" t="s">
        <v>4031</v>
      </c>
      <c r="AW89" s="103"/>
      <c r="BC89" s="92" t="s">
        <v>799</v>
      </c>
      <c r="BI89" s="92" t="s">
        <v>1061</v>
      </c>
    </row>
    <row r="90" spans="6:61" x14ac:dyDescent="0.2">
      <c r="F90" s="28"/>
      <c r="AJ90" s="92" t="s">
        <v>4125</v>
      </c>
      <c r="AL90" s="93" t="s">
        <v>1070</v>
      </c>
      <c r="AM90" s="92" t="s">
        <v>1071</v>
      </c>
      <c r="AU90" s="92" t="s">
        <v>1044</v>
      </c>
      <c r="AW90" s="103"/>
      <c r="BC90" s="92" t="s">
        <v>4501</v>
      </c>
      <c r="BI90" s="92" t="s">
        <v>1065</v>
      </c>
    </row>
    <row r="91" spans="6:61" x14ac:dyDescent="0.2">
      <c r="F91" s="28"/>
      <c r="AJ91" s="92" t="s">
        <v>4126</v>
      </c>
      <c r="AL91" s="93" t="s">
        <v>1074</v>
      </c>
      <c r="AM91" s="92" t="s">
        <v>1075</v>
      </c>
      <c r="AU91" s="92" t="s">
        <v>1048</v>
      </c>
      <c r="AW91" s="103"/>
      <c r="BC91" s="92" t="s">
        <v>809</v>
      </c>
      <c r="BI91" s="92" t="s">
        <v>1069</v>
      </c>
    </row>
    <row r="92" spans="6:61" x14ac:dyDescent="0.2">
      <c r="F92" s="28"/>
      <c r="AJ92" s="92" t="s">
        <v>4127</v>
      </c>
      <c r="AL92" s="93" t="s">
        <v>1078</v>
      </c>
      <c r="AM92" s="92" t="s">
        <v>1079</v>
      </c>
      <c r="AU92" s="92" t="s">
        <v>1052</v>
      </c>
      <c r="AW92" s="103"/>
      <c r="BC92" s="92" t="s">
        <v>4502</v>
      </c>
      <c r="BI92" s="92" t="s">
        <v>1073</v>
      </c>
    </row>
    <row r="93" spans="6:61" x14ac:dyDescent="0.2">
      <c r="F93" s="28"/>
      <c r="AJ93" s="92" t="s">
        <v>4128</v>
      </c>
      <c r="AL93" s="93" t="s">
        <v>1082</v>
      </c>
      <c r="AM93" s="92" t="s">
        <v>1083</v>
      </c>
      <c r="AU93" s="92" t="s">
        <v>1056</v>
      </c>
      <c r="AW93" s="103"/>
      <c r="BC93" s="92" t="s">
        <v>818</v>
      </c>
      <c r="BI93" s="92" t="s">
        <v>1077</v>
      </c>
    </row>
    <row r="94" spans="6:61" x14ac:dyDescent="0.2">
      <c r="F94" s="28"/>
      <c r="AJ94" s="92" t="s">
        <v>4129</v>
      </c>
      <c r="AL94" s="93" t="s">
        <v>1086</v>
      </c>
      <c r="AM94" s="92" t="s">
        <v>1087</v>
      </c>
      <c r="AU94" s="92" t="s">
        <v>1060</v>
      </c>
      <c r="AW94" s="103"/>
      <c r="BC94" s="92" t="s">
        <v>4503</v>
      </c>
      <c r="BI94" s="92" t="s">
        <v>1081</v>
      </c>
    </row>
    <row r="95" spans="6:61" x14ac:dyDescent="0.2">
      <c r="F95" s="28"/>
      <c r="AJ95" s="92" t="s">
        <v>4130</v>
      </c>
      <c r="AL95" s="93" t="s">
        <v>1090</v>
      </c>
      <c r="AM95" s="92" t="s">
        <v>1091</v>
      </c>
      <c r="AU95" s="92" t="s">
        <v>1064</v>
      </c>
      <c r="AW95" s="103"/>
      <c r="BC95" s="92" t="s">
        <v>4504</v>
      </c>
      <c r="BI95" s="103" t="s">
        <v>1085</v>
      </c>
    </row>
    <row r="96" spans="6:61" x14ac:dyDescent="0.2">
      <c r="F96" s="28"/>
      <c r="AJ96" s="92" t="s">
        <v>4131</v>
      </c>
      <c r="AL96" s="93" t="s">
        <v>1093</v>
      </c>
      <c r="AM96" s="92" t="s">
        <v>1094</v>
      </c>
      <c r="AU96" s="92" t="s">
        <v>1068</v>
      </c>
      <c r="AW96" s="103"/>
      <c r="BC96" s="92" t="s">
        <v>827</v>
      </c>
      <c r="BI96" s="92" t="s">
        <v>1089</v>
      </c>
    </row>
    <row r="97" spans="6:61" x14ac:dyDescent="0.2">
      <c r="F97" s="28"/>
      <c r="AJ97" s="92" t="s">
        <v>4132</v>
      </c>
      <c r="AL97" s="93" t="s">
        <v>1096</v>
      </c>
      <c r="AM97" s="92" t="s">
        <v>1097</v>
      </c>
      <c r="AU97" s="92" t="s">
        <v>1072</v>
      </c>
      <c r="AW97" s="103"/>
      <c r="BC97" s="92" t="s">
        <v>836</v>
      </c>
      <c r="BI97" s="92" t="s">
        <v>1092</v>
      </c>
    </row>
    <row r="98" spans="6:61" x14ac:dyDescent="0.2">
      <c r="F98" s="28"/>
      <c r="AJ98" s="92" t="s">
        <v>4133</v>
      </c>
      <c r="AL98" s="93" t="s">
        <v>1099</v>
      </c>
      <c r="AM98" s="92" t="s">
        <v>1100</v>
      </c>
      <c r="AU98" s="92" t="s">
        <v>1076</v>
      </c>
      <c r="AW98" s="103"/>
      <c r="BC98" s="92" t="s">
        <v>845</v>
      </c>
      <c r="BI98" s="103" t="s">
        <v>1095</v>
      </c>
    </row>
    <row r="99" spans="6:61" x14ac:dyDescent="0.2">
      <c r="F99" s="28"/>
      <c r="AJ99" s="92" t="s">
        <v>4134</v>
      </c>
      <c r="AL99" s="93" t="s">
        <v>1102</v>
      </c>
      <c r="AM99" s="92" t="s">
        <v>1103</v>
      </c>
      <c r="AU99" s="92" t="s">
        <v>1080</v>
      </c>
      <c r="AW99" s="103"/>
      <c r="BC99" s="92" t="s">
        <v>4505</v>
      </c>
      <c r="BI99" s="103" t="s">
        <v>1098</v>
      </c>
    </row>
    <row r="100" spans="6:61" x14ac:dyDescent="0.2">
      <c r="F100" s="28"/>
      <c r="AJ100" s="92" t="s">
        <v>4135</v>
      </c>
      <c r="AL100" s="93" t="s">
        <v>1105</v>
      </c>
      <c r="AM100" s="92" t="s">
        <v>1106</v>
      </c>
      <c r="AU100" s="92" t="s">
        <v>1084</v>
      </c>
      <c r="AW100" s="103"/>
      <c r="BC100" s="92" t="s">
        <v>4506</v>
      </c>
      <c r="BI100" s="92" t="s">
        <v>1101</v>
      </c>
    </row>
    <row r="101" spans="6:61" x14ac:dyDescent="0.2">
      <c r="F101" s="28"/>
      <c r="AJ101" s="92" t="s">
        <v>4136</v>
      </c>
      <c r="AL101" s="93" t="s">
        <v>1108</v>
      </c>
      <c r="AM101" s="92" t="s">
        <v>1109</v>
      </c>
      <c r="AU101" s="92" t="s">
        <v>1088</v>
      </c>
      <c r="AW101" s="103"/>
      <c r="BC101" s="92" t="s">
        <v>853</v>
      </c>
      <c r="BI101" s="92" t="s">
        <v>1104</v>
      </c>
    </row>
    <row r="102" spans="6:61" x14ac:dyDescent="0.2">
      <c r="F102" s="28"/>
      <c r="AJ102" s="92" t="s">
        <v>4137</v>
      </c>
      <c r="AL102" s="93" t="s">
        <v>1111</v>
      </c>
      <c r="AM102" s="92" t="s">
        <v>1112</v>
      </c>
      <c r="AW102" s="103"/>
      <c r="BC102" s="92" t="s">
        <v>860</v>
      </c>
      <c r="BI102" s="103" t="s">
        <v>1107</v>
      </c>
    </row>
    <row r="103" spans="6:61" x14ac:dyDescent="0.2">
      <c r="F103" s="28"/>
      <c r="AJ103" s="92" t="s">
        <v>4138</v>
      </c>
      <c r="AL103" s="93" t="s">
        <v>1114</v>
      </c>
      <c r="AM103" s="92" t="s">
        <v>1115</v>
      </c>
      <c r="AW103" s="103"/>
      <c r="BC103" s="92" t="s">
        <v>865</v>
      </c>
      <c r="BI103" s="92" t="s">
        <v>1110</v>
      </c>
    </row>
    <row r="104" spans="6:61" x14ac:dyDescent="0.2">
      <c r="F104" s="28"/>
      <c r="AJ104" s="92" t="s">
        <v>4139</v>
      </c>
      <c r="AL104" s="93" t="s">
        <v>1117</v>
      </c>
      <c r="AM104" s="92" t="s">
        <v>1118</v>
      </c>
      <c r="AW104" s="103"/>
      <c r="BC104" s="92" t="s">
        <v>4507</v>
      </c>
      <c r="BI104" s="92" t="s">
        <v>1113</v>
      </c>
    </row>
    <row r="105" spans="6:61" x14ac:dyDescent="0.2">
      <c r="F105" s="28"/>
      <c r="AJ105" s="92" t="s">
        <v>4140</v>
      </c>
      <c r="AL105" s="93" t="s">
        <v>1120</v>
      </c>
      <c r="AM105" s="92" t="s">
        <v>1121</v>
      </c>
      <c r="AW105" s="103"/>
      <c r="BC105" s="92" t="s">
        <v>870</v>
      </c>
      <c r="BI105" s="92" t="s">
        <v>1116</v>
      </c>
    </row>
    <row r="106" spans="6:61" x14ac:dyDescent="0.2">
      <c r="F106" s="28"/>
      <c r="AJ106" s="92" t="s">
        <v>4141</v>
      </c>
      <c r="AL106" s="93" t="s">
        <v>1123</v>
      </c>
      <c r="AM106" s="92" t="s">
        <v>1124</v>
      </c>
      <c r="AW106" s="103"/>
      <c r="BC106" s="92" t="s">
        <v>4508</v>
      </c>
      <c r="BI106" s="92" t="s">
        <v>1119</v>
      </c>
    </row>
    <row r="107" spans="6:61" x14ac:dyDescent="0.2">
      <c r="F107" s="28"/>
      <c r="AJ107" s="92" t="s">
        <v>4142</v>
      </c>
      <c r="AL107" s="93" t="s">
        <v>1126</v>
      </c>
      <c r="AM107" s="92" t="s">
        <v>1127</v>
      </c>
      <c r="AW107" s="103"/>
      <c r="BC107" s="92" t="s">
        <v>875</v>
      </c>
      <c r="BI107" s="103" t="s">
        <v>1122</v>
      </c>
    </row>
    <row r="108" spans="6:61" x14ac:dyDescent="0.2">
      <c r="F108" s="28"/>
      <c r="AJ108" s="92" t="s">
        <v>4143</v>
      </c>
      <c r="AL108" s="93" t="s">
        <v>1129</v>
      </c>
      <c r="AM108" s="92" t="s">
        <v>1130</v>
      </c>
      <c r="AW108" s="103"/>
      <c r="BC108" s="92" t="s">
        <v>880</v>
      </c>
      <c r="BI108" s="92" t="s">
        <v>1125</v>
      </c>
    </row>
    <row r="109" spans="6:61" x14ac:dyDescent="0.2">
      <c r="F109" s="28"/>
      <c r="AJ109" s="92" t="s">
        <v>4144</v>
      </c>
      <c r="AL109" s="93" t="s">
        <v>1132</v>
      </c>
      <c r="AM109" s="92" t="s">
        <v>1133</v>
      </c>
      <c r="AW109" s="103"/>
      <c r="BC109" s="92" t="s">
        <v>4509</v>
      </c>
      <c r="BI109" s="103" t="s">
        <v>1128</v>
      </c>
    </row>
    <row r="110" spans="6:61" x14ac:dyDescent="0.2">
      <c r="F110" s="28"/>
      <c r="AJ110" s="92" t="s">
        <v>4145</v>
      </c>
      <c r="AL110" s="93" t="s">
        <v>1135</v>
      </c>
      <c r="AM110" s="92" t="s">
        <v>1136</v>
      </c>
      <c r="AW110" s="103"/>
      <c r="BC110" s="92" t="s">
        <v>885</v>
      </c>
      <c r="BI110" s="92" t="s">
        <v>1131</v>
      </c>
    </row>
    <row r="111" spans="6:61" x14ac:dyDescent="0.2">
      <c r="F111" s="28"/>
      <c r="AJ111" s="92" t="s">
        <v>4146</v>
      </c>
      <c r="AL111" s="93" t="s">
        <v>1138</v>
      </c>
      <c r="AM111" s="92" t="s">
        <v>1139</v>
      </c>
      <c r="AW111" s="103"/>
      <c r="BC111" s="92" t="s">
        <v>4510</v>
      </c>
      <c r="BI111" s="92" t="s">
        <v>1134</v>
      </c>
    </row>
    <row r="112" spans="6:61" x14ac:dyDescent="0.2">
      <c r="F112" s="28"/>
      <c r="AJ112" s="92" t="s">
        <v>4147</v>
      </c>
      <c r="AL112" s="93" t="s">
        <v>1141</v>
      </c>
      <c r="AM112" s="92" t="s">
        <v>1142</v>
      </c>
      <c r="AW112" s="103"/>
      <c r="BC112" s="92" t="s">
        <v>890</v>
      </c>
      <c r="BI112" s="103" t="s">
        <v>1137</v>
      </c>
    </row>
    <row r="113" spans="6:61" x14ac:dyDescent="0.2">
      <c r="F113" s="28"/>
      <c r="AJ113" s="92" t="s">
        <v>4148</v>
      </c>
      <c r="AL113" s="93" t="s">
        <v>1144</v>
      </c>
      <c r="AM113" s="92" t="s">
        <v>1145</v>
      </c>
      <c r="AW113" s="103"/>
      <c r="BC113" s="92" t="s">
        <v>895</v>
      </c>
      <c r="BI113" s="103" t="s">
        <v>1140</v>
      </c>
    </row>
    <row r="114" spans="6:61" x14ac:dyDescent="0.2">
      <c r="F114" s="28"/>
      <c r="AJ114" s="92" t="s">
        <v>4149</v>
      </c>
      <c r="AL114" s="93" t="s">
        <v>1147</v>
      </c>
      <c r="AM114" s="92" t="s">
        <v>1148</v>
      </c>
      <c r="AW114" s="103"/>
      <c r="BC114" s="92" t="s">
        <v>900</v>
      </c>
      <c r="BI114" s="92" t="s">
        <v>1143</v>
      </c>
    </row>
    <row r="115" spans="6:61" x14ac:dyDescent="0.2">
      <c r="F115" s="28"/>
      <c r="AJ115" s="92" t="s">
        <v>4150</v>
      </c>
      <c r="AL115" s="93" t="s">
        <v>1150</v>
      </c>
      <c r="AM115" s="92" t="s">
        <v>1151</v>
      </c>
      <c r="AW115" s="103"/>
      <c r="BC115" s="92" t="s">
        <v>905</v>
      </c>
      <c r="BI115" s="92" t="s">
        <v>1146</v>
      </c>
    </row>
    <row r="116" spans="6:61" x14ac:dyDescent="0.2">
      <c r="F116" s="28"/>
      <c r="AJ116" s="92" t="s">
        <v>4151</v>
      </c>
      <c r="AL116" s="93" t="s">
        <v>1153</v>
      </c>
      <c r="AM116" s="92" t="s">
        <v>1154</v>
      </c>
      <c r="AW116" s="103"/>
      <c r="BC116" s="92" t="s">
        <v>4511</v>
      </c>
      <c r="BI116" s="92" t="s">
        <v>1149</v>
      </c>
    </row>
    <row r="117" spans="6:61" x14ac:dyDescent="0.2">
      <c r="F117" s="28"/>
      <c r="AJ117" s="92" t="s">
        <v>4152</v>
      </c>
      <c r="AL117" s="93" t="s">
        <v>1156</v>
      </c>
      <c r="AM117" s="92" t="s">
        <v>1157</v>
      </c>
      <c r="AW117" s="103"/>
      <c r="BC117" s="92" t="s">
        <v>910</v>
      </c>
      <c r="BI117" s="92" t="s">
        <v>1152</v>
      </c>
    </row>
    <row r="118" spans="6:61" x14ac:dyDescent="0.2">
      <c r="F118" s="28"/>
      <c r="AJ118" s="92" t="s">
        <v>4153</v>
      </c>
      <c r="AL118" s="93" t="s">
        <v>1159</v>
      </c>
      <c r="AM118" s="92" t="s">
        <v>1160</v>
      </c>
      <c r="AW118" s="103"/>
      <c r="BC118" s="92" t="s">
        <v>915</v>
      </c>
      <c r="BI118" s="92" t="s">
        <v>1155</v>
      </c>
    </row>
    <row r="119" spans="6:61" x14ac:dyDescent="0.2">
      <c r="F119" s="28"/>
      <c r="AJ119" s="92" t="s">
        <v>4154</v>
      </c>
      <c r="AL119" s="93" t="s">
        <v>1162</v>
      </c>
      <c r="AM119" s="92" t="s">
        <v>1163</v>
      </c>
      <c r="AW119" s="103"/>
      <c r="BC119" s="92" t="s">
        <v>920</v>
      </c>
      <c r="BI119" s="92" t="s">
        <v>1158</v>
      </c>
    </row>
    <row r="120" spans="6:61" x14ac:dyDescent="0.2">
      <c r="F120" s="28"/>
      <c r="AJ120" s="92" t="s">
        <v>4155</v>
      </c>
      <c r="AL120" s="93" t="s">
        <v>1165</v>
      </c>
      <c r="AM120" s="92" t="s">
        <v>1166</v>
      </c>
      <c r="AW120" s="103"/>
      <c r="BC120" s="92" t="s">
        <v>965</v>
      </c>
      <c r="BI120" s="92" t="s">
        <v>1161</v>
      </c>
    </row>
    <row r="121" spans="6:61" x14ac:dyDescent="0.2">
      <c r="F121" s="28"/>
      <c r="AJ121" s="92" t="s">
        <v>4156</v>
      </c>
      <c r="AL121" s="93" t="s">
        <v>1168</v>
      </c>
      <c r="AM121" s="92" t="s">
        <v>1169</v>
      </c>
      <c r="AW121" s="103"/>
      <c r="BC121" s="92" t="s">
        <v>4512</v>
      </c>
      <c r="BI121" s="92" t="s">
        <v>1164</v>
      </c>
    </row>
    <row r="122" spans="6:61" x14ac:dyDescent="0.2">
      <c r="F122" s="28"/>
      <c r="AJ122" s="92" t="s">
        <v>4157</v>
      </c>
      <c r="AL122" s="93" t="s">
        <v>1171</v>
      </c>
      <c r="AM122" s="92" t="s">
        <v>1172</v>
      </c>
      <c r="AW122" s="103"/>
      <c r="BC122" s="92" t="s">
        <v>925</v>
      </c>
      <c r="BI122" s="103" t="s">
        <v>1167</v>
      </c>
    </row>
    <row r="123" spans="6:61" x14ac:dyDescent="0.2">
      <c r="F123" s="28"/>
      <c r="AJ123" s="92" t="s">
        <v>4158</v>
      </c>
      <c r="AL123" s="93" t="s">
        <v>1174</v>
      </c>
      <c r="AM123" s="92" t="s">
        <v>1175</v>
      </c>
      <c r="AW123" s="103"/>
      <c r="BC123" s="92" t="s">
        <v>930</v>
      </c>
      <c r="BI123" s="92" t="s">
        <v>1170</v>
      </c>
    </row>
    <row r="124" spans="6:61" x14ac:dyDescent="0.2">
      <c r="F124" s="28"/>
      <c r="AJ124" s="92" t="s">
        <v>4159</v>
      </c>
      <c r="AL124" s="93" t="s">
        <v>1177</v>
      </c>
      <c r="AM124" s="92" t="s">
        <v>1178</v>
      </c>
      <c r="AW124" s="103"/>
      <c r="BC124" s="92" t="s">
        <v>935</v>
      </c>
      <c r="BI124" s="92" t="s">
        <v>1173</v>
      </c>
    </row>
    <row r="125" spans="6:61" x14ac:dyDescent="0.2">
      <c r="F125" s="28"/>
      <c r="AJ125" s="92" t="s">
        <v>4160</v>
      </c>
      <c r="AL125" s="93" t="s">
        <v>1180</v>
      </c>
      <c r="AM125" s="92" t="s">
        <v>1181</v>
      </c>
      <c r="AW125" s="103"/>
      <c r="BC125" s="92" t="s">
        <v>4513</v>
      </c>
      <c r="BI125" s="92" t="s">
        <v>1176</v>
      </c>
    </row>
    <row r="126" spans="6:61" x14ac:dyDescent="0.2">
      <c r="F126" s="28"/>
      <c r="AJ126" s="92" t="s">
        <v>4161</v>
      </c>
      <c r="AL126" s="93" t="s">
        <v>1183</v>
      </c>
      <c r="AM126" s="92" t="s">
        <v>1184</v>
      </c>
      <c r="AW126" s="103"/>
      <c r="BC126" s="92" t="s">
        <v>4514</v>
      </c>
      <c r="BI126" s="92" t="s">
        <v>1179</v>
      </c>
    </row>
    <row r="127" spans="6:61" x14ac:dyDescent="0.2">
      <c r="F127" s="28"/>
      <c r="AJ127" s="92" t="s">
        <v>4162</v>
      </c>
      <c r="AL127" s="93" t="s">
        <v>1186</v>
      </c>
      <c r="AM127" s="92" t="s">
        <v>1187</v>
      </c>
      <c r="AW127" s="103"/>
      <c r="BC127" s="92" t="s">
        <v>4035</v>
      </c>
      <c r="BI127" s="92" t="s">
        <v>1182</v>
      </c>
    </row>
    <row r="128" spans="6:61" x14ac:dyDescent="0.2">
      <c r="F128" s="28"/>
      <c r="AJ128" s="92" t="s">
        <v>4163</v>
      </c>
      <c r="AL128" s="93" t="s">
        <v>1189</v>
      </c>
      <c r="AM128" s="92" t="s">
        <v>1190</v>
      </c>
      <c r="AW128" s="103"/>
      <c r="BC128" s="92" t="s">
        <v>4515</v>
      </c>
      <c r="BI128" s="92" t="s">
        <v>1185</v>
      </c>
    </row>
    <row r="129" spans="6:61" x14ac:dyDescent="0.2">
      <c r="F129" s="28"/>
      <c r="AJ129" s="92" t="s">
        <v>4164</v>
      </c>
      <c r="AL129" s="93" t="s">
        <v>1192</v>
      </c>
      <c r="AM129" s="92" t="s">
        <v>1193</v>
      </c>
      <c r="AW129" s="103"/>
      <c r="BC129" s="92" t="s">
        <v>940</v>
      </c>
      <c r="BI129" s="92" t="s">
        <v>4025</v>
      </c>
    </row>
    <row r="130" spans="6:61" x14ac:dyDescent="0.2">
      <c r="F130" s="28"/>
      <c r="AJ130" s="92" t="s">
        <v>4165</v>
      </c>
      <c r="AL130" s="93" t="s">
        <v>1195</v>
      </c>
      <c r="AM130" s="92" t="s">
        <v>1196</v>
      </c>
      <c r="AW130" s="103"/>
      <c r="BC130" s="92" t="s">
        <v>945</v>
      </c>
      <c r="BI130" s="92" t="s">
        <v>1188</v>
      </c>
    </row>
    <row r="131" spans="6:61" x14ac:dyDescent="0.2">
      <c r="F131" s="28"/>
      <c r="AJ131" s="92" t="s">
        <v>4166</v>
      </c>
      <c r="AL131" s="93" t="s">
        <v>1198</v>
      </c>
      <c r="AM131" s="92" t="s">
        <v>1199</v>
      </c>
      <c r="AW131" s="103"/>
      <c r="BC131" s="92" t="s">
        <v>950</v>
      </c>
      <c r="BI131" s="103" t="s">
        <v>1191</v>
      </c>
    </row>
    <row r="132" spans="6:61" x14ac:dyDescent="0.2">
      <c r="F132" s="28"/>
      <c r="AJ132" s="92" t="s">
        <v>4167</v>
      </c>
      <c r="AL132" s="93" t="s">
        <v>1201</v>
      </c>
      <c r="AM132" s="92" t="s">
        <v>1202</v>
      </c>
      <c r="AW132" s="103"/>
      <c r="BC132" s="92" t="s">
        <v>4516</v>
      </c>
      <c r="BI132" s="92" t="s">
        <v>1194</v>
      </c>
    </row>
    <row r="133" spans="6:61" x14ac:dyDescent="0.2">
      <c r="F133" s="28"/>
      <c r="AJ133" s="92" t="s">
        <v>4168</v>
      </c>
      <c r="AL133" s="93" t="s">
        <v>1204</v>
      </c>
      <c r="AM133" s="92" t="s">
        <v>1205</v>
      </c>
      <c r="AW133" s="103"/>
      <c r="BC133" s="92" t="s">
        <v>4517</v>
      </c>
      <c r="BI133" s="92" t="s">
        <v>1197</v>
      </c>
    </row>
    <row r="134" spans="6:61" x14ac:dyDescent="0.2">
      <c r="F134" s="28"/>
      <c r="AJ134" s="92" t="s">
        <v>4169</v>
      </c>
      <c r="AL134" s="93" t="s">
        <v>1207</v>
      </c>
      <c r="AM134" s="92" t="s">
        <v>1208</v>
      </c>
      <c r="AW134" s="103"/>
      <c r="BI134" s="103" t="s">
        <v>1200</v>
      </c>
    </row>
    <row r="135" spans="6:61" x14ac:dyDescent="0.2">
      <c r="F135" s="28"/>
      <c r="AJ135" s="92" t="s">
        <v>4170</v>
      </c>
      <c r="AL135" s="93" t="s">
        <v>1210</v>
      </c>
      <c r="AM135" s="92" t="s">
        <v>1211</v>
      </c>
      <c r="AW135" s="103"/>
      <c r="BI135" s="103" t="s">
        <v>1203</v>
      </c>
    </row>
    <row r="136" spans="6:61" x14ac:dyDescent="0.2">
      <c r="F136" s="28"/>
      <c r="AJ136" s="92" t="s">
        <v>4171</v>
      </c>
      <c r="AL136" s="93" t="s">
        <v>1213</v>
      </c>
      <c r="AM136" s="92" t="s">
        <v>1214</v>
      </c>
      <c r="AW136" s="103"/>
      <c r="BI136" s="92" t="s">
        <v>1206</v>
      </c>
    </row>
    <row r="137" spans="6:61" x14ac:dyDescent="0.2">
      <c r="F137" s="28"/>
      <c r="AJ137" s="92" t="s">
        <v>4172</v>
      </c>
      <c r="AL137" s="93" t="s">
        <v>1216</v>
      </c>
      <c r="AM137" s="92" t="s">
        <v>1217</v>
      </c>
      <c r="AW137" s="103"/>
      <c r="BI137" s="92" t="s">
        <v>1209</v>
      </c>
    </row>
    <row r="138" spans="6:61" x14ac:dyDescent="0.2">
      <c r="F138" s="28"/>
      <c r="AJ138" s="92" t="s">
        <v>4173</v>
      </c>
      <c r="AL138" s="93" t="s">
        <v>1219</v>
      </c>
      <c r="AM138" s="92" t="s">
        <v>1220</v>
      </c>
      <c r="AW138" s="103"/>
      <c r="BI138" s="103" t="s">
        <v>1212</v>
      </c>
    </row>
    <row r="139" spans="6:61" x14ac:dyDescent="0.2">
      <c r="F139" s="28"/>
      <c r="AJ139" s="92" t="s">
        <v>4174</v>
      </c>
      <c r="AL139" s="93" t="s">
        <v>1222</v>
      </c>
      <c r="AM139" s="92" t="s">
        <v>1223</v>
      </c>
      <c r="AW139" s="103"/>
      <c r="BI139" s="92" t="s">
        <v>1215</v>
      </c>
    </row>
    <row r="140" spans="6:61" x14ac:dyDescent="0.2">
      <c r="F140" s="28"/>
      <c r="AJ140" s="92" t="s">
        <v>4175</v>
      </c>
      <c r="AL140" s="93" t="s">
        <v>1225</v>
      </c>
      <c r="AM140" s="92" t="s">
        <v>1226</v>
      </c>
      <c r="AW140" s="103"/>
      <c r="BI140" s="92" t="s">
        <v>1218</v>
      </c>
    </row>
    <row r="141" spans="6:61" x14ac:dyDescent="0.2">
      <c r="F141" s="28"/>
      <c r="AJ141" s="92" t="s">
        <v>4176</v>
      </c>
      <c r="AL141" s="93" t="s">
        <v>1228</v>
      </c>
      <c r="AM141" s="92" t="s">
        <v>1229</v>
      </c>
      <c r="AW141" s="103"/>
      <c r="BI141" s="103" t="s">
        <v>1221</v>
      </c>
    </row>
    <row r="142" spans="6:61" x14ac:dyDescent="0.2">
      <c r="F142" s="28"/>
      <c r="AJ142" s="92" t="s">
        <v>4177</v>
      </c>
      <c r="AL142" s="93" t="s">
        <v>1231</v>
      </c>
      <c r="AM142" s="92" t="s">
        <v>1232</v>
      </c>
      <c r="AW142" s="103"/>
      <c r="BI142" s="103" t="s">
        <v>1224</v>
      </c>
    </row>
    <row r="143" spans="6:61" x14ac:dyDescent="0.2">
      <c r="F143" s="28"/>
      <c r="AJ143" s="92" t="s">
        <v>4178</v>
      </c>
      <c r="AL143" s="93" t="s">
        <v>1234</v>
      </c>
      <c r="AM143" s="92" t="s">
        <v>1235</v>
      </c>
      <c r="AW143" s="103"/>
      <c r="BI143" s="92" t="s">
        <v>1227</v>
      </c>
    </row>
    <row r="144" spans="6:61" x14ac:dyDescent="0.2">
      <c r="F144" s="28"/>
      <c r="AJ144" s="92" t="s">
        <v>4179</v>
      </c>
      <c r="AL144" s="93" t="s">
        <v>1237</v>
      </c>
      <c r="AM144" s="92" t="s">
        <v>1238</v>
      </c>
      <c r="AW144" s="103"/>
      <c r="BI144" s="92" t="s">
        <v>1230</v>
      </c>
    </row>
    <row r="145" spans="6:62" x14ac:dyDescent="0.2">
      <c r="F145" s="28"/>
      <c r="AJ145" s="92" t="s">
        <v>4180</v>
      </c>
      <c r="AL145" s="93" t="s">
        <v>1240</v>
      </c>
      <c r="AM145" s="92" t="s">
        <v>1241</v>
      </c>
      <c r="AW145" s="103"/>
      <c r="BI145" s="92" t="s">
        <v>1233</v>
      </c>
    </row>
    <row r="146" spans="6:62" x14ac:dyDescent="0.2">
      <c r="F146" s="28"/>
      <c r="AJ146" s="92" t="s">
        <v>4181</v>
      </c>
      <c r="AL146" s="93" t="s">
        <v>1243</v>
      </c>
      <c r="AM146" s="92" t="s">
        <v>1244</v>
      </c>
      <c r="AW146" s="103"/>
      <c r="BI146" s="92" t="s">
        <v>1236</v>
      </c>
    </row>
    <row r="147" spans="6:62" x14ac:dyDescent="0.2">
      <c r="F147" s="28"/>
      <c r="AJ147" s="92" t="s">
        <v>4182</v>
      </c>
      <c r="AL147" s="93" t="s">
        <v>1246</v>
      </c>
      <c r="AM147" s="92" t="s">
        <v>1247</v>
      </c>
      <c r="AW147" s="103"/>
      <c r="BI147" s="92" t="s">
        <v>1239</v>
      </c>
    </row>
    <row r="148" spans="6:62" x14ac:dyDescent="0.2">
      <c r="F148" s="28"/>
      <c r="AJ148" s="92" t="s">
        <v>4183</v>
      </c>
      <c r="AL148" s="93" t="s">
        <v>1249</v>
      </c>
      <c r="AM148" s="92" t="s">
        <v>1250</v>
      </c>
      <c r="AW148" s="103"/>
      <c r="BI148" s="92" t="s">
        <v>1242</v>
      </c>
    </row>
    <row r="149" spans="6:62" x14ac:dyDescent="0.2">
      <c r="F149" s="28"/>
      <c r="AJ149" s="92" t="s">
        <v>4184</v>
      </c>
      <c r="AL149" s="93" t="s">
        <v>1252</v>
      </c>
      <c r="AM149" s="92" t="s">
        <v>1253</v>
      </c>
      <c r="AW149" s="103"/>
      <c r="BI149" s="92" t="s">
        <v>1245</v>
      </c>
    </row>
    <row r="150" spans="6:62" x14ac:dyDescent="0.2">
      <c r="F150" s="28"/>
      <c r="AJ150" s="92" t="s">
        <v>4185</v>
      </c>
      <c r="AL150" s="93" t="s">
        <v>1255</v>
      </c>
      <c r="AM150" s="92" t="s">
        <v>1256</v>
      </c>
      <c r="AW150" s="103"/>
      <c r="BI150" s="92" t="s">
        <v>1248</v>
      </c>
    </row>
    <row r="151" spans="6:62" x14ac:dyDescent="0.2">
      <c r="F151" s="28"/>
      <c r="AJ151" s="92" t="s">
        <v>4186</v>
      </c>
      <c r="AL151" s="93" t="s">
        <v>1258</v>
      </c>
      <c r="AM151" s="92" t="s">
        <v>1259</v>
      </c>
      <c r="AW151" s="103"/>
      <c r="BI151" s="92" t="s">
        <v>1251</v>
      </c>
    </row>
    <row r="152" spans="6:62" x14ac:dyDescent="0.2">
      <c r="F152" s="28"/>
      <c r="AJ152" s="92" t="s">
        <v>4187</v>
      </c>
      <c r="AL152" s="93" t="s">
        <v>1261</v>
      </c>
      <c r="AM152" s="92" t="s">
        <v>1262</v>
      </c>
      <c r="AW152" s="103"/>
      <c r="BI152" s="92" t="s">
        <v>1254</v>
      </c>
    </row>
    <row r="153" spans="6:62" x14ac:dyDescent="0.2">
      <c r="F153" s="28"/>
      <c r="AJ153" s="92" t="s">
        <v>4188</v>
      </c>
      <c r="AL153" s="93" t="s">
        <v>1264</v>
      </c>
      <c r="AM153" s="92" t="s">
        <v>1265</v>
      </c>
      <c r="AW153" s="103"/>
      <c r="BI153" s="92" t="s">
        <v>1257</v>
      </c>
    </row>
    <row r="154" spans="6:62" x14ac:dyDescent="0.2">
      <c r="F154" s="28"/>
      <c r="AJ154" s="92" t="s">
        <v>4189</v>
      </c>
      <c r="AL154" s="93" t="s">
        <v>1267</v>
      </c>
      <c r="AM154" s="92" t="s">
        <v>1268</v>
      </c>
      <c r="AW154" s="103"/>
      <c r="BI154" s="92" t="s">
        <v>1260</v>
      </c>
    </row>
    <row r="155" spans="6:62" x14ac:dyDescent="0.2">
      <c r="F155" s="28"/>
      <c r="AJ155" s="92" t="s">
        <v>4190</v>
      </c>
      <c r="AL155" s="93" t="s">
        <v>1270</v>
      </c>
      <c r="AM155" s="92" t="s">
        <v>1271</v>
      </c>
      <c r="AW155" s="103"/>
      <c r="BI155" s="92" t="s">
        <v>1263</v>
      </c>
    </row>
    <row r="156" spans="6:62" x14ac:dyDescent="0.2">
      <c r="F156" s="28"/>
      <c r="AJ156" s="92" t="s">
        <v>4191</v>
      </c>
      <c r="AL156" s="93" t="s">
        <v>1273</v>
      </c>
      <c r="AM156" s="92" t="s">
        <v>1274</v>
      </c>
      <c r="AW156" s="103"/>
      <c r="BI156" s="92" t="s">
        <v>1266</v>
      </c>
    </row>
    <row r="157" spans="6:62" x14ac:dyDescent="0.2">
      <c r="F157" s="28"/>
      <c r="AJ157" s="92" t="s">
        <v>4192</v>
      </c>
      <c r="AL157" s="93" t="s">
        <v>1276</v>
      </c>
      <c r="AM157" s="92" t="s">
        <v>1277</v>
      </c>
      <c r="AW157" s="103"/>
      <c r="BI157" s="92" t="s">
        <v>1269</v>
      </c>
      <c r="BJ157" s="103"/>
    </row>
    <row r="158" spans="6:62" x14ac:dyDescent="0.2">
      <c r="F158" s="28"/>
      <c r="AJ158" s="92" t="s">
        <v>4193</v>
      </c>
      <c r="AL158" s="93" t="s">
        <v>1279</v>
      </c>
      <c r="AM158" s="92" t="s">
        <v>1280</v>
      </c>
      <c r="AW158" s="103"/>
      <c r="BI158" s="103" t="s">
        <v>1272</v>
      </c>
    </row>
    <row r="159" spans="6:62" x14ac:dyDescent="0.2">
      <c r="F159" s="28"/>
      <c r="AJ159" s="92" t="s">
        <v>4194</v>
      </c>
      <c r="AL159" s="93" t="s">
        <v>1282</v>
      </c>
      <c r="AM159" s="92" t="s">
        <v>1283</v>
      </c>
      <c r="AW159" s="103"/>
      <c r="BI159" s="92" t="s">
        <v>1275</v>
      </c>
    </row>
    <row r="160" spans="6:62" x14ac:dyDescent="0.2">
      <c r="F160" s="28"/>
      <c r="AJ160" s="92" t="s">
        <v>4195</v>
      </c>
      <c r="AL160" s="93" t="s">
        <v>1285</v>
      </c>
      <c r="AM160" s="92" t="s">
        <v>1286</v>
      </c>
      <c r="AW160" s="103"/>
      <c r="BI160" s="92" t="s">
        <v>1278</v>
      </c>
    </row>
    <row r="161" spans="6:61" x14ac:dyDescent="0.2">
      <c r="F161" s="28"/>
      <c r="AJ161" s="92" t="s">
        <v>4196</v>
      </c>
      <c r="AL161" s="93" t="s">
        <v>1288</v>
      </c>
      <c r="AM161" s="92" t="s">
        <v>1289</v>
      </c>
      <c r="AW161" s="103"/>
      <c r="BI161" s="92" t="s">
        <v>1281</v>
      </c>
    </row>
    <row r="162" spans="6:61" x14ac:dyDescent="0.2">
      <c r="F162" s="28"/>
      <c r="AJ162" s="92" t="s">
        <v>4197</v>
      </c>
      <c r="AL162" s="93" t="s">
        <v>1291</v>
      </c>
      <c r="AM162" s="92" t="s">
        <v>1292</v>
      </c>
      <c r="AW162" s="103"/>
      <c r="BI162" s="92" t="s">
        <v>1284</v>
      </c>
    </row>
    <row r="163" spans="6:61" x14ac:dyDescent="0.2">
      <c r="F163" s="28"/>
      <c r="AJ163" s="92" t="s">
        <v>4198</v>
      </c>
      <c r="AL163" s="93" t="s">
        <v>1294</v>
      </c>
      <c r="AM163" s="92" t="s">
        <v>1295</v>
      </c>
      <c r="AW163" s="103"/>
      <c r="BI163" s="92" t="s">
        <v>1287</v>
      </c>
    </row>
    <row r="164" spans="6:61" x14ac:dyDescent="0.2">
      <c r="F164" s="28"/>
      <c r="AJ164" s="92" t="s">
        <v>4199</v>
      </c>
      <c r="AL164" s="93" t="s">
        <v>1297</v>
      </c>
      <c r="AM164" s="92" t="s">
        <v>1298</v>
      </c>
      <c r="AW164" s="103"/>
      <c r="BI164" s="92" t="s">
        <v>1290</v>
      </c>
    </row>
    <row r="165" spans="6:61" x14ac:dyDescent="0.2">
      <c r="F165" s="28"/>
      <c r="AJ165" s="92" t="s">
        <v>4200</v>
      </c>
      <c r="AL165" s="93" t="s">
        <v>1300</v>
      </c>
      <c r="AM165" s="92" t="s">
        <v>1301</v>
      </c>
      <c r="AW165" s="103"/>
      <c r="BI165" s="92" t="s">
        <v>1293</v>
      </c>
    </row>
    <row r="166" spans="6:61" x14ac:dyDescent="0.2">
      <c r="F166" s="28"/>
      <c r="AJ166" s="92" t="s">
        <v>4201</v>
      </c>
      <c r="AL166" s="93" t="s">
        <v>1303</v>
      </c>
      <c r="AM166" s="92" t="s">
        <v>1304</v>
      </c>
      <c r="AW166" s="103"/>
      <c r="BI166" s="92" t="s">
        <v>1296</v>
      </c>
    </row>
    <row r="167" spans="6:61" x14ac:dyDescent="0.2">
      <c r="F167" s="28"/>
      <c r="AJ167" s="92" t="s">
        <v>4202</v>
      </c>
      <c r="AL167" s="93" t="s">
        <v>1306</v>
      </c>
      <c r="AM167" s="92" t="s">
        <v>1307</v>
      </c>
      <c r="AW167" s="103"/>
      <c r="BI167" s="92" t="s">
        <v>1299</v>
      </c>
    </row>
    <row r="168" spans="6:61" x14ac:dyDescent="0.2">
      <c r="F168" s="28"/>
      <c r="AJ168" s="92" t="s">
        <v>4203</v>
      </c>
      <c r="AL168" s="93" t="s">
        <v>1309</v>
      </c>
      <c r="AM168" s="92" t="s">
        <v>1310</v>
      </c>
      <c r="AW168" s="103"/>
      <c r="BI168" s="92" t="s">
        <v>1302</v>
      </c>
    </row>
    <row r="169" spans="6:61" x14ac:dyDescent="0.2">
      <c r="F169" s="28"/>
      <c r="AJ169" s="92" t="s">
        <v>4204</v>
      </c>
      <c r="AL169" s="93" t="s">
        <v>1312</v>
      </c>
      <c r="AM169" s="92" t="s">
        <v>1313</v>
      </c>
      <c r="AW169" s="103"/>
      <c r="BI169" s="92" t="s">
        <v>1305</v>
      </c>
    </row>
    <row r="170" spans="6:61" x14ac:dyDescent="0.2">
      <c r="F170" s="28"/>
      <c r="AJ170" s="92" t="s">
        <v>4205</v>
      </c>
      <c r="AL170" s="93" t="s">
        <v>1315</v>
      </c>
      <c r="AM170" s="92" t="s">
        <v>1316</v>
      </c>
      <c r="AW170" s="103"/>
      <c r="BI170" s="92" t="s">
        <v>1308</v>
      </c>
    </row>
    <row r="171" spans="6:61" x14ac:dyDescent="0.2">
      <c r="F171" s="28"/>
      <c r="AJ171" s="92" t="s">
        <v>4206</v>
      </c>
      <c r="AL171" s="93" t="s">
        <v>1318</v>
      </c>
      <c r="AM171" s="92" t="s">
        <v>1319</v>
      </c>
      <c r="AW171" s="103"/>
      <c r="BI171" s="92" t="s">
        <v>1311</v>
      </c>
    </row>
    <row r="172" spans="6:61" x14ac:dyDescent="0.2">
      <c r="F172" s="28"/>
      <c r="AJ172" s="92" t="s">
        <v>4207</v>
      </c>
      <c r="AL172" s="93" t="s">
        <v>1321</v>
      </c>
      <c r="AM172" s="92" t="s">
        <v>1322</v>
      </c>
      <c r="AW172" s="103"/>
      <c r="BI172" s="92" t="s">
        <v>1314</v>
      </c>
    </row>
    <row r="173" spans="6:61" x14ac:dyDescent="0.2">
      <c r="F173" s="28"/>
      <c r="AJ173" s="92" t="s">
        <v>4208</v>
      </c>
      <c r="AL173" s="93" t="s">
        <v>1324</v>
      </c>
      <c r="AM173" s="92" t="s">
        <v>1325</v>
      </c>
      <c r="AW173" s="103"/>
      <c r="BI173" s="92" t="s">
        <v>1317</v>
      </c>
    </row>
    <row r="174" spans="6:61" x14ac:dyDescent="0.2">
      <c r="F174" s="28"/>
      <c r="AJ174" s="92" t="s">
        <v>4209</v>
      </c>
      <c r="AL174" s="93" t="s">
        <v>1327</v>
      </c>
      <c r="AM174" s="92" t="s">
        <v>1328</v>
      </c>
      <c r="AW174" s="103"/>
      <c r="BI174" s="103" t="s">
        <v>1320</v>
      </c>
    </row>
    <row r="175" spans="6:61" x14ac:dyDescent="0.2">
      <c r="F175" s="28"/>
      <c r="AJ175" s="92" t="s">
        <v>4210</v>
      </c>
      <c r="AL175" s="93" t="s">
        <v>1330</v>
      </c>
      <c r="AM175" s="92" t="s">
        <v>1331</v>
      </c>
      <c r="AW175" s="103"/>
      <c r="BI175" s="92" t="s">
        <v>1323</v>
      </c>
    </row>
    <row r="176" spans="6:61" x14ac:dyDescent="0.2">
      <c r="F176" s="28"/>
      <c r="AJ176" s="92" t="s">
        <v>4211</v>
      </c>
      <c r="AL176" s="93" t="s">
        <v>1333</v>
      </c>
      <c r="AM176" s="92" t="s">
        <v>1334</v>
      </c>
      <c r="AW176" s="103"/>
      <c r="BI176" s="92" t="s">
        <v>1326</v>
      </c>
    </row>
    <row r="177" spans="6:61" x14ac:dyDescent="0.2">
      <c r="F177" s="28"/>
      <c r="AJ177" s="92" t="s">
        <v>4212</v>
      </c>
      <c r="AL177" s="93" t="s">
        <v>1336</v>
      </c>
      <c r="AM177" s="92" t="s">
        <v>1337</v>
      </c>
      <c r="AW177" s="103"/>
      <c r="BI177" s="92" t="s">
        <v>1329</v>
      </c>
    </row>
    <row r="178" spans="6:61" x14ac:dyDescent="0.2">
      <c r="F178" s="28"/>
      <c r="AJ178" s="92" t="s">
        <v>4213</v>
      </c>
      <c r="AL178" s="93" t="s">
        <v>1339</v>
      </c>
      <c r="AM178" s="92" t="s">
        <v>1340</v>
      </c>
      <c r="AW178" s="103"/>
      <c r="BI178" s="92" t="s">
        <v>1332</v>
      </c>
    </row>
    <row r="179" spans="6:61" x14ac:dyDescent="0.2">
      <c r="F179" s="28"/>
      <c r="AJ179" s="92" t="s">
        <v>4214</v>
      </c>
      <c r="AL179" s="93" t="s">
        <v>1342</v>
      </c>
      <c r="AM179" s="92" t="s">
        <v>1343</v>
      </c>
      <c r="AW179" s="103"/>
      <c r="BI179" s="92" t="s">
        <v>1335</v>
      </c>
    </row>
    <row r="180" spans="6:61" x14ac:dyDescent="0.2">
      <c r="F180" s="28"/>
      <c r="AJ180" s="92" t="s">
        <v>4215</v>
      </c>
      <c r="AL180" s="93" t="s">
        <v>1345</v>
      </c>
      <c r="AM180" s="92" t="s">
        <v>1346</v>
      </c>
      <c r="AW180" s="103"/>
      <c r="BI180" s="92" t="s">
        <v>1338</v>
      </c>
    </row>
    <row r="181" spans="6:61" x14ac:dyDescent="0.2">
      <c r="F181" s="28"/>
      <c r="AJ181" s="92" t="s">
        <v>4216</v>
      </c>
      <c r="AL181" s="93" t="s">
        <v>1348</v>
      </c>
      <c r="AM181" s="92" t="s">
        <v>1349</v>
      </c>
      <c r="AW181" s="103"/>
      <c r="BI181" s="103" t="s">
        <v>1341</v>
      </c>
    </row>
    <row r="182" spans="6:61" x14ac:dyDescent="0.2">
      <c r="F182" s="28"/>
      <c r="AJ182" s="92" t="s">
        <v>4217</v>
      </c>
      <c r="AL182" s="93" t="s">
        <v>1351</v>
      </c>
      <c r="AM182" s="92" t="s">
        <v>1352</v>
      </c>
      <c r="AW182" s="103"/>
      <c r="BI182" s="103" t="s">
        <v>1344</v>
      </c>
    </row>
    <row r="183" spans="6:61" x14ac:dyDescent="0.2">
      <c r="F183" s="28"/>
      <c r="AJ183" s="92" t="s">
        <v>4218</v>
      </c>
      <c r="AL183" s="93" t="s">
        <v>1354</v>
      </c>
      <c r="AM183" s="92" t="s">
        <v>1355</v>
      </c>
      <c r="AW183" s="103"/>
      <c r="BI183" s="103" t="s">
        <v>1347</v>
      </c>
    </row>
    <row r="184" spans="6:61" x14ac:dyDescent="0.2">
      <c r="F184" s="28"/>
      <c r="AJ184" s="92" t="s">
        <v>4219</v>
      </c>
      <c r="AL184" s="93" t="s">
        <v>1357</v>
      </c>
      <c r="AM184" s="92" t="s">
        <v>1358</v>
      </c>
      <c r="AW184" s="103"/>
      <c r="BI184" s="92" t="s">
        <v>1350</v>
      </c>
    </row>
    <row r="185" spans="6:61" x14ac:dyDescent="0.2">
      <c r="F185" s="28"/>
      <c r="AJ185" s="92" t="s">
        <v>4220</v>
      </c>
      <c r="AL185" s="93" t="s">
        <v>1360</v>
      </c>
      <c r="AM185" s="92" t="s">
        <v>1361</v>
      </c>
      <c r="AW185" s="103"/>
      <c r="BI185" s="103" t="s">
        <v>1353</v>
      </c>
    </row>
    <row r="186" spans="6:61" x14ac:dyDescent="0.2">
      <c r="F186" s="28"/>
      <c r="AJ186" s="92" t="s">
        <v>4221</v>
      </c>
      <c r="AL186" s="93" t="s">
        <v>1363</v>
      </c>
      <c r="AM186" s="92" t="s">
        <v>1364</v>
      </c>
      <c r="AW186" s="103"/>
      <c r="BI186" s="92" t="s">
        <v>1356</v>
      </c>
    </row>
    <row r="187" spans="6:61" x14ac:dyDescent="0.2">
      <c r="F187" s="28"/>
      <c r="AJ187" s="92" t="s">
        <v>4222</v>
      </c>
      <c r="AL187" s="93" t="s">
        <v>1366</v>
      </c>
      <c r="AM187" s="92" t="s">
        <v>1367</v>
      </c>
      <c r="AW187" s="103"/>
      <c r="BI187" s="92" t="s">
        <v>1359</v>
      </c>
    </row>
    <row r="188" spans="6:61" x14ac:dyDescent="0.2">
      <c r="F188" s="28"/>
      <c r="AJ188" s="92" t="s">
        <v>4223</v>
      </c>
      <c r="AL188" s="93" t="s">
        <v>1369</v>
      </c>
      <c r="AM188" s="92" t="s">
        <v>1370</v>
      </c>
      <c r="AW188" s="103"/>
      <c r="BI188" s="92" t="s">
        <v>1362</v>
      </c>
    </row>
    <row r="189" spans="6:61" x14ac:dyDescent="0.2">
      <c r="F189" s="28"/>
      <c r="AJ189" s="92" t="s">
        <v>4224</v>
      </c>
      <c r="AL189" s="93" t="s">
        <v>1372</v>
      </c>
      <c r="AM189" s="92" t="s">
        <v>1373</v>
      </c>
      <c r="AW189" s="103"/>
      <c r="BI189" s="92" t="s">
        <v>1365</v>
      </c>
    </row>
    <row r="190" spans="6:61" x14ac:dyDescent="0.2">
      <c r="F190" s="28"/>
      <c r="AJ190" s="92" t="s">
        <v>4225</v>
      </c>
      <c r="AL190" s="93" t="s">
        <v>1375</v>
      </c>
      <c r="AM190" s="92" t="s">
        <v>1376</v>
      </c>
      <c r="AW190" s="103"/>
      <c r="BI190" s="92" t="s">
        <v>1368</v>
      </c>
    </row>
    <row r="191" spans="6:61" x14ac:dyDescent="0.2">
      <c r="F191" s="28"/>
      <c r="AJ191" s="92" t="s">
        <v>4226</v>
      </c>
      <c r="AL191" s="93" t="s">
        <v>1378</v>
      </c>
      <c r="AM191" s="92" t="s">
        <v>1379</v>
      </c>
      <c r="AW191" s="103"/>
      <c r="BI191" s="92" t="s">
        <v>1371</v>
      </c>
    </row>
    <row r="192" spans="6:61" x14ac:dyDescent="0.2">
      <c r="F192" s="28"/>
      <c r="AJ192" s="92" t="s">
        <v>4227</v>
      </c>
      <c r="AL192" s="93" t="s">
        <v>1381</v>
      </c>
      <c r="AM192" s="92" t="s">
        <v>1382</v>
      </c>
      <c r="AW192" s="103"/>
      <c r="BI192" s="92" t="s">
        <v>1374</v>
      </c>
    </row>
    <row r="193" spans="6:61" x14ac:dyDescent="0.2">
      <c r="F193" s="28"/>
      <c r="AJ193" s="92" t="s">
        <v>4228</v>
      </c>
      <c r="AL193" s="93" t="s">
        <v>1384</v>
      </c>
      <c r="AM193" s="92" t="s">
        <v>1385</v>
      </c>
      <c r="AW193" s="103"/>
      <c r="BI193" s="103" t="s">
        <v>1377</v>
      </c>
    </row>
    <row r="194" spans="6:61" x14ac:dyDescent="0.2">
      <c r="F194" s="28"/>
      <c r="AJ194" s="92" t="s">
        <v>4229</v>
      </c>
      <c r="AL194" s="93" t="s">
        <v>1387</v>
      </c>
      <c r="AM194" s="92" t="s">
        <v>1388</v>
      </c>
      <c r="AW194" s="103"/>
      <c r="BI194" s="92" t="s">
        <v>1380</v>
      </c>
    </row>
    <row r="195" spans="6:61" x14ac:dyDescent="0.2">
      <c r="F195" s="28"/>
      <c r="AJ195" s="92" t="s">
        <v>4230</v>
      </c>
      <c r="AL195" s="93" t="s">
        <v>1390</v>
      </c>
      <c r="AM195" s="92" t="s">
        <v>1391</v>
      </c>
      <c r="AW195" s="103"/>
      <c r="BI195" s="103" t="s">
        <v>1383</v>
      </c>
    </row>
    <row r="196" spans="6:61" x14ac:dyDescent="0.2">
      <c r="F196" s="28"/>
      <c r="AJ196" s="92" t="s">
        <v>4231</v>
      </c>
      <c r="AL196" s="93" t="s">
        <v>1393</v>
      </c>
      <c r="AM196" s="92" t="s">
        <v>1394</v>
      </c>
      <c r="AW196" s="103"/>
      <c r="BI196" s="92" t="s">
        <v>1386</v>
      </c>
    </row>
    <row r="197" spans="6:61" x14ac:dyDescent="0.2">
      <c r="F197" s="28"/>
      <c r="AJ197" s="92" t="s">
        <v>4232</v>
      </c>
      <c r="AL197" s="93" t="s">
        <v>1395</v>
      </c>
      <c r="AM197" s="92" t="s">
        <v>1396</v>
      </c>
      <c r="AW197" s="103"/>
      <c r="BI197" s="103" t="s">
        <v>1389</v>
      </c>
    </row>
    <row r="198" spans="6:61" x14ac:dyDescent="0.2">
      <c r="F198" s="28"/>
      <c r="AJ198" s="92" t="s">
        <v>4233</v>
      </c>
      <c r="AL198" s="93" t="s">
        <v>1397</v>
      </c>
      <c r="AM198" s="92" t="s">
        <v>1398</v>
      </c>
      <c r="AW198" s="103"/>
      <c r="BI198" s="92" t="s">
        <v>1392</v>
      </c>
    </row>
    <row r="199" spans="6:61" x14ac:dyDescent="0.2">
      <c r="F199" s="28"/>
      <c r="AJ199" s="92" t="s">
        <v>4234</v>
      </c>
      <c r="AL199" s="93" t="s">
        <v>1399</v>
      </c>
      <c r="AM199" s="92" t="s">
        <v>1400</v>
      </c>
      <c r="AW199" s="103"/>
    </row>
    <row r="200" spans="6:61" x14ac:dyDescent="0.2">
      <c r="F200" s="28"/>
      <c r="AJ200" s="92" t="s">
        <v>4235</v>
      </c>
      <c r="AL200" s="93" t="s">
        <v>1401</v>
      </c>
      <c r="AM200" s="92" t="s">
        <v>1402</v>
      </c>
      <c r="AW200" s="103"/>
    </row>
    <row r="201" spans="6:61" x14ac:dyDescent="0.2">
      <c r="F201" s="28"/>
      <c r="AJ201" s="92" t="s">
        <v>4236</v>
      </c>
      <c r="AL201" s="93" t="s">
        <v>1403</v>
      </c>
      <c r="AM201" s="92" t="s">
        <v>1404</v>
      </c>
      <c r="AW201" s="103"/>
    </row>
    <row r="202" spans="6:61" x14ac:dyDescent="0.2">
      <c r="F202" s="28"/>
      <c r="AJ202" s="92" t="s">
        <v>4237</v>
      </c>
      <c r="AL202" s="93" t="s">
        <v>1405</v>
      </c>
      <c r="AM202" s="92" t="s">
        <v>1406</v>
      </c>
      <c r="AW202" s="103"/>
    </row>
    <row r="203" spans="6:61" x14ac:dyDescent="0.2">
      <c r="F203" s="28"/>
      <c r="AJ203" s="92" t="s">
        <v>4238</v>
      </c>
      <c r="AL203" s="93" t="s">
        <v>1407</v>
      </c>
      <c r="AM203" s="92" t="s">
        <v>1408</v>
      </c>
      <c r="AW203" s="103"/>
    </row>
    <row r="204" spans="6:61" x14ac:dyDescent="0.2">
      <c r="F204" s="28"/>
      <c r="AJ204" s="92" t="s">
        <v>4239</v>
      </c>
      <c r="AL204" s="93" t="s">
        <v>1409</v>
      </c>
      <c r="AM204" s="92" t="s">
        <v>1410</v>
      </c>
      <c r="AW204" s="103"/>
    </row>
    <row r="205" spans="6:61" x14ac:dyDescent="0.2">
      <c r="F205" s="28"/>
      <c r="AJ205" s="92" t="s">
        <v>4240</v>
      </c>
      <c r="AL205" s="93" t="s">
        <v>1411</v>
      </c>
      <c r="AM205" s="92" t="s">
        <v>1412</v>
      </c>
      <c r="AW205" s="103"/>
    </row>
    <row r="206" spans="6:61" x14ac:dyDescent="0.2">
      <c r="F206" s="28"/>
      <c r="AJ206" s="92" t="s">
        <v>4241</v>
      </c>
      <c r="AL206" s="93" t="s">
        <v>1413</v>
      </c>
      <c r="AM206" s="92" t="s">
        <v>1414</v>
      </c>
      <c r="AW206" s="103"/>
    </row>
    <row r="207" spans="6:61" x14ac:dyDescent="0.2">
      <c r="F207" s="28"/>
      <c r="AJ207" s="92" t="s">
        <v>4242</v>
      </c>
      <c r="AL207" s="93" t="s">
        <v>1415</v>
      </c>
      <c r="AM207" s="92" t="s">
        <v>1416</v>
      </c>
      <c r="AW207" s="103"/>
    </row>
    <row r="208" spans="6:61" x14ac:dyDescent="0.2">
      <c r="F208" s="28"/>
      <c r="AJ208" s="92" t="s">
        <v>4243</v>
      </c>
      <c r="AL208" s="93" t="s">
        <v>1417</v>
      </c>
      <c r="AM208" s="92" t="s">
        <v>1418</v>
      </c>
      <c r="AW208" s="103"/>
    </row>
    <row r="209" spans="6:61" x14ac:dyDescent="0.2">
      <c r="F209" s="28"/>
      <c r="AJ209" s="92" t="s">
        <v>4244</v>
      </c>
      <c r="AL209" s="93" t="s">
        <v>1419</v>
      </c>
      <c r="AM209" s="92" t="s">
        <v>1420</v>
      </c>
      <c r="AW209" s="103"/>
    </row>
    <row r="210" spans="6:61" x14ac:dyDescent="0.2">
      <c r="F210" s="28"/>
      <c r="AJ210" s="92" t="s">
        <v>4245</v>
      </c>
      <c r="AL210" s="93" t="s">
        <v>1421</v>
      </c>
      <c r="AM210" s="92" t="s">
        <v>1422</v>
      </c>
      <c r="AW210" s="103"/>
      <c r="BI210" s="103"/>
    </row>
    <row r="211" spans="6:61" x14ac:dyDescent="0.2">
      <c r="F211" s="28"/>
      <c r="AJ211" s="92" t="s">
        <v>4246</v>
      </c>
      <c r="AL211" s="93" t="s">
        <v>1423</v>
      </c>
      <c r="AM211" s="92" t="s">
        <v>1424</v>
      </c>
      <c r="AW211" s="103"/>
    </row>
    <row r="212" spans="6:61" x14ac:dyDescent="0.2">
      <c r="F212" s="28"/>
      <c r="AJ212" s="92" t="s">
        <v>4247</v>
      </c>
      <c r="AL212" s="93" t="s">
        <v>1425</v>
      </c>
      <c r="AM212" s="92" t="s">
        <v>1426</v>
      </c>
      <c r="AW212" s="103"/>
    </row>
    <row r="213" spans="6:61" x14ac:dyDescent="0.2">
      <c r="F213" s="28"/>
      <c r="AJ213" s="92" t="s">
        <v>4248</v>
      </c>
      <c r="AL213" s="93" t="s">
        <v>1427</v>
      </c>
      <c r="AM213" s="92" t="s">
        <v>1428</v>
      </c>
      <c r="AW213" s="103"/>
      <c r="BI213" s="103"/>
    </row>
    <row r="214" spans="6:61" x14ac:dyDescent="0.2">
      <c r="F214" s="28"/>
      <c r="AJ214" s="92" t="s">
        <v>4249</v>
      </c>
      <c r="AL214" s="93" t="s">
        <v>1429</v>
      </c>
      <c r="AM214" s="92" t="s">
        <v>1430</v>
      </c>
      <c r="AW214" s="103"/>
    </row>
    <row r="215" spans="6:61" x14ac:dyDescent="0.2">
      <c r="F215" s="28"/>
      <c r="AJ215" s="92" t="s">
        <v>4250</v>
      </c>
      <c r="AL215" s="93" t="s">
        <v>1431</v>
      </c>
      <c r="AM215" s="92" t="s">
        <v>1432</v>
      </c>
      <c r="AW215" s="103"/>
      <c r="BI215" s="103"/>
    </row>
    <row r="216" spans="6:61" x14ac:dyDescent="0.2">
      <c r="F216" s="28"/>
      <c r="AJ216" s="92" t="s">
        <v>4251</v>
      </c>
      <c r="AL216" s="93" t="s">
        <v>1433</v>
      </c>
      <c r="AM216" s="92" t="s">
        <v>1434</v>
      </c>
      <c r="AW216" s="103"/>
      <c r="BI216" s="103"/>
    </row>
    <row r="217" spans="6:61" x14ac:dyDescent="0.2">
      <c r="F217" s="28"/>
      <c r="AJ217" s="92" t="s">
        <v>4252</v>
      </c>
      <c r="AL217" s="93" t="s">
        <v>1435</v>
      </c>
      <c r="AM217" s="92" t="s">
        <v>1436</v>
      </c>
      <c r="AW217" s="103"/>
      <c r="BI217" s="103"/>
    </row>
    <row r="218" spans="6:61" x14ac:dyDescent="0.2">
      <c r="F218" s="28"/>
      <c r="AJ218" s="92" t="s">
        <v>4253</v>
      </c>
      <c r="AL218" s="93" t="s">
        <v>1437</v>
      </c>
      <c r="AM218" s="92" t="s">
        <v>1438</v>
      </c>
      <c r="AW218" s="103"/>
      <c r="BI218" s="103"/>
    </row>
    <row r="219" spans="6:61" x14ac:dyDescent="0.2">
      <c r="F219" s="28"/>
      <c r="AJ219" s="92" t="s">
        <v>4254</v>
      </c>
      <c r="AL219" s="93" t="s">
        <v>1439</v>
      </c>
      <c r="AM219" s="92" t="s">
        <v>1440</v>
      </c>
      <c r="AW219" s="103"/>
      <c r="BI219" s="103"/>
    </row>
    <row r="220" spans="6:61" x14ac:dyDescent="0.2">
      <c r="F220" s="28"/>
      <c r="AJ220" s="92" t="s">
        <v>4255</v>
      </c>
      <c r="AL220" s="93" t="s">
        <v>1441</v>
      </c>
      <c r="AM220" s="92" t="s">
        <v>1442</v>
      </c>
      <c r="AW220" s="103"/>
      <c r="BI220" s="103"/>
    </row>
    <row r="221" spans="6:61" x14ac:dyDescent="0.2">
      <c r="F221" s="28"/>
      <c r="AJ221" s="92" t="s">
        <v>4256</v>
      </c>
      <c r="AL221" s="93" t="s">
        <v>1443</v>
      </c>
      <c r="AM221" s="92" t="s">
        <v>1444</v>
      </c>
      <c r="AW221" s="103"/>
      <c r="BI221" s="103"/>
    </row>
    <row r="222" spans="6:61" x14ac:dyDescent="0.2">
      <c r="F222" s="28"/>
      <c r="AJ222" s="92" t="s">
        <v>4257</v>
      </c>
      <c r="AL222" s="93" t="s">
        <v>1445</v>
      </c>
      <c r="AM222" s="92" t="s">
        <v>1446</v>
      </c>
      <c r="AW222" s="103"/>
      <c r="BI222" s="103"/>
    </row>
    <row r="223" spans="6:61" x14ac:dyDescent="0.2">
      <c r="F223" s="28"/>
      <c r="AJ223" s="92" t="s">
        <v>4258</v>
      </c>
      <c r="AL223" s="93" t="s">
        <v>1447</v>
      </c>
      <c r="AM223" s="92" t="s">
        <v>1448</v>
      </c>
      <c r="AW223" s="103"/>
      <c r="BI223" s="103"/>
    </row>
    <row r="224" spans="6:61" x14ac:dyDescent="0.2">
      <c r="F224" s="28"/>
      <c r="AJ224" s="92" t="s">
        <v>4259</v>
      </c>
      <c r="AL224" s="93" t="s">
        <v>1449</v>
      </c>
      <c r="AM224" s="92" t="s">
        <v>1450</v>
      </c>
      <c r="AW224" s="103"/>
      <c r="BI224" s="103"/>
    </row>
    <row r="225" spans="6:61" x14ac:dyDescent="0.2">
      <c r="F225" s="28"/>
      <c r="AJ225" s="92" t="s">
        <v>4260</v>
      </c>
      <c r="AL225" s="93" t="s">
        <v>1451</v>
      </c>
      <c r="AM225" s="92" t="s">
        <v>1452</v>
      </c>
      <c r="AW225" s="103"/>
      <c r="BI225" s="103"/>
    </row>
    <row r="226" spans="6:61" x14ac:dyDescent="0.2">
      <c r="F226" s="28"/>
      <c r="AJ226" s="92" t="s">
        <v>4261</v>
      </c>
      <c r="AL226" s="93" t="s">
        <v>1453</v>
      </c>
      <c r="AM226" s="92" t="s">
        <v>1454</v>
      </c>
      <c r="AW226" s="103"/>
      <c r="BI226" s="103"/>
    </row>
    <row r="227" spans="6:61" x14ac:dyDescent="0.2">
      <c r="F227" s="28"/>
      <c r="AJ227" s="92" t="s">
        <v>4262</v>
      </c>
      <c r="AL227" s="93" t="s">
        <v>1455</v>
      </c>
      <c r="AM227" s="92" t="s">
        <v>1456</v>
      </c>
      <c r="AW227" s="103"/>
      <c r="BI227" s="103"/>
    </row>
    <row r="228" spans="6:61" x14ac:dyDescent="0.2">
      <c r="F228" s="28"/>
      <c r="AJ228" s="92" t="s">
        <v>4263</v>
      </c>
      <c r="AL228" s="93" t="s">
        <v>1457</v>
      </c>
      <c r="AM228" s="92" t="s">
        <v>1458</v>
      </c>
      <c r="AW228" s="103"/>
      <c r="BI228" s="103"/>
    </row>
    <row r="229" spans="6:61" x14ac:dyDescent="0.2">
      <c r="F229" s="28"/>
      <c r="AJ229" s="92" t="s">
        <v>4264</v>
      </c>
      <c r="AL229" s="93" t="s">
        <v>1459</v>
      </c>
      <c r="AM229" s="92" t="s">
        <v>1460</v>
      </c>
      <c r="AW229" s="103"/>
      <c r="BI229" s="103"/>
    </row>
    <row r="230" spans="6:61" x14ac:dyDescent="0.2">
      <c r="F230" s="28"/>
      <c r="AJ230" s="92" t="s">
        <v>4265</v>
      </c>
      <c r="AL230" s="93" t="s">
        <v>1461</v>
      </c>
      <c r="AM230" s="92" t="s">
        <v>1462</v>
      </c>
      <c r="AW230" s="103"/>
      <c r="BI230" s="103"/>
    </row>
    <row r="231" spans="6:61" x14ac:dyDescent="0.2">
      <c r="F231" s="28"/>
      <c r="AJ231" s="92" t="s">
        <v>4266</v>
      </c>
      <c r="AL231" s="93" t="s">
        <v>1463</v>
      </c>
      <c r="AM231" s="92" t="s">
        <v>1464</v>
      </c>
      <c r="AW231" s="103"/>
      <c r="BI231" s="103"/>
    </row>
    <row r="232" spans="6:61" x14ac:dyDescent="0.2">
      <c r="F232" s="28"/>
      <c r="AJ232" s="92" t="s">
        <v>4267</v>
      </c>
      <c r="AL232" s="93" t="s">
        <v>1465</v>
      </c>
      <c r="AM232" s="92" t="s">
        <v>1466</v>
      </c>
      <c r="AW232" s="103"/>
      <c r="BI232" s="103"/>
    </row>
    <row r="233" spans="6:61" x14ac:dyDescent="0.2">
      <c r="F233" s="28"/>
      <c r="AJ233" s="92" t="s">
        <v>4268</v>
      </c>
      <c r="AL233" s="93" t="s">
        <v>1467</v>
      </c>
      <c r="AM233" s="92" t="s">
        <v>1468</v>
      </c>
      <c r="AW233" s="103"/>
      <c r="BI233" s="103"/>
    </row>
    <row r="234" spans="6:61" x14ac:dyDescent="0.2">
      <c r="F234" s="28"/>
      <c r="AJ234" s="92" t="s">
        <v>4269</v>
      </c>
      <c r="AL234" s="93" t="s">
        <v>1469</v>
      </c>
      <c r="AM234" s="92" t="s">
        <v>1470</v>
      </c>
      <c r="AW234" s="103"/>
      <c r="BI234" s="103"/>
    </row>
    <row r="235" spans="6:61" x14ac:dyDescent="0.2">
      <c r="F235" s="28"/>
      <c r="AJ235" s="92" t="s">
        <v>4270</v>
      </c>
      <c r="AL235" s="93" t="s">
        <v>1471</v>
      </c>
      <c r="AM235" s="92" t="s">
        <v>1472</v>
      </c>
      <c r="AW235" s="103"/>
      <c r="BI235" s="103"/>
    </row>
    <row r="236" spans="6:61" x14ac:dyDescent="0.2">
      <c r="F236" s="28"/>
      <c r="AJ236" s="92" t="s">
        <v>4271</v>
      </c>
      <c r="AL236" s="93" t="s">
        <v>1473</v>
      </c>
      <c r="AM236" s="92" t="s">
        <v>1474</v>
      </c>
      <c r="AW236" s="103"/>
      <c r="BI236" s="103"/>
    </row>
    <row r="237" spans="6:61" x14ac:dyDescent="0.2">
      <c r="F237" s="28"/>
      <c r="AJ237" s="92" t="s">
        <v>4272</v>
      </c>
      <c r="AL237" s="93" t="s">
        <v>1475</v>
      </c>
      <c r="AM237" s="92" t="s">
        <v>1476</v>
      </c>
      <c r="AW237" s="103"/>
      <c r="BI237" s="103"/>
    </row>
    <row r="238" spans="6:61" x14ac:dyDescent="0.2">
      <c r="F238" s="28"/>
      <c r="AJ238" s="92" t="s">
        <v>4273</v>
      </c>
      <c r="AL238" s="93" t="s">
        <v>1477</v>
      </c>
      <c r="AM238" s="92" t="s">
        <v>1478</v>
      </c>
      <c r="AW238" s="103"/>
      <c r="BI238" s="103"/>
    </row>
    <row r="239" spans="6:61" x14ac:dyDescent="0.2">
      <c r="F239" s="28"/>
      <c r="AJ239" s="92" t="s">
        <v>4274</v>
      </c>
      <c r="AL239" s="93" t="s">
        <v>1479</v>
      </c>
      <c r="AM239" s="92" t="s">
        <v>1480</v>
      </c>
      <c r="AW239" s="103"/>
      <c r="BI239" s="103"/>
    </row>
    <row r="240" spans="6:61" x14ac:dyDescent="0.2">
      <c r="F240" s="28"/>
      <c r="AJ240" s="92" t="s">
        <v>4275</v>
      </c>
      <c r="AL240" s="93" t="s">
        <v>1481</v>
      </c>
      <c r="AM240" s="92" t="s">
        <v>1482</v>
      </c>
      <c r="AW240" s="103"/>
      <c r="BI240" s="103"/>
    </row>
    <row r="241" spans="6:61" x14ac:dyDescent="0.2">
      <c r="F241" s="28"/>
      <c r="AJ241" s="92" t="s">
        <v>4276</v>
      </c>
      <c r="AL241" s="93" t="s">
        <v>1483</v>
      </c>
      <c r="AM241" s="92" t="s">
        <v>1484</v>
      </c>
      <c r="AW241" s="103"/>
      <c r="BI241" s="103"/>
    </row>
    <row r="242" spans="6:61" x14ac:dyDescent="0.2">
      <c r="F242" s="28"/>
      <c r="AJ242" s="92" t="s">
        <v>4277</v>
      </c>
      <c r="AL242" s="93" t="s">
        <v>1485</v>
      </c>
      <c r="AM242" s="92" t="s">
        <v>1486</v>
      </c>
      <c r="AW242" s="103"/>
      <c r="BI242" s="103"/>
    </row>
    <row r="243" spans="6:61" x14ac:dyDescent="0.2">
      <c r="F243" s="28"/>
      <c r="AJ243" s="92" t="s">
        <v>4278</v>
      </c>
      <c r="AL243" s="93" t="s">
        <v>1487</v>
      </c>
      <c r="AM243" s="92" t="s">
        <v>1488</v>
      </c>
      <c r="AW243" s="103"/>
      <c r="BI243" s="103"/>
    </row>
    <row r="244" spans="6:61" x14ac:dyDescent="0.2">
      <c r="F244" s="28"/>
      <c r="AJ244" s="92" t="s">
        <v>4279</v>
      </c>
      <c r="AL244" s="93" t="s">
        <v>1489</v>
      </c>
      <c r="AM244" s="92" t="s">
        <v>1490</v>
      </c>
      <c r="AW244" s="103"/>
      <c r="BI244" s="103"/>
    </row>
    <row r="245" spans="6:61" x14ac:dyDescent="0.2">
      <c r="F245" s="28"/>
      <c r="AJ245" s="92" t="s">
        <v>4280</v>
      </c>
      <c r="AL245" s="93" t="s">
        <v>1491</v>
      </c>
      <c r="AM245" s="92" t="s">
        <v>1492</v>
      </c>
      <c r="AW245" s="103"/>
      <c r="BI245" s="103"/>
    </row>
    <row r="246" spans="6:61" x14ac:dyDescent="0.2">
      <c r="F246" s="28"/>
      <c r="AJ246" s="92" t="s">
        <v>4281</v>
      </c>
      <c r="AL246" s="93" t="s">
        <v>1493</v>
      </c>
      <c r="AM246" s="92" t="s">
        <v>1494</v>
      </c>
      <c r="AW246" s="103"/>
      <c r="BI246" s="103"/>
    </row>
    <row r="247" spans="6:61" x14ac:dyDescent="0.2">
      <c r="F247" s="28"/>
      <c r="AJ247" s="92" t="s">
        <v>4282</v>
      </c>
      <c r="AL247" s="93" t="s">
        <v>1495</v>
      </c>
      <c r="AM247" s="92" t="s">
        <v>1496</v>
      </c>
      <c r="AW247" s="103"/>
      <c r="BI247" s="103"/>
    </row>
    <row r="248" spans="6:61" x14ac:dyDescent="0.2">
      <c r="F248" s="28"/>
      <c r="AJ248" s="92" t="s">
        <v>4283</v>
      </c>
      <c r="AL248" s="93" t="s">
        <v>1497</v>
      </c>
      <c r="AM248" s="92" t="s">
        <v>1498</v>
      </c>
      <c r="AW248" s="103"/>
      <c r="BI248" s="103"/>
    </row>
    <row r="249" spans="6:61" x14ac:dyDescent="0.2">
      <c r="F249" s="28"/>
      <c r="AJ249" s="92" t="s">
        <v>4284</v>
      </c>
      <c r="AL249" s="93" t="s">
        <v>1499</v>
      </c>
      <c r="AM249" s="92" t="s">
        <v>1500</v>
      </c>
      <c r="AW249" s="103"/>
      <c r="BI249" s="103"/>
    </row>
    <row r="250" spans="6:61" x14ac:dyDescent="0.2">
      <c r="F250" s="28"/>
      <c r="AJ250" s="92" t="s">
        <v>4285</v>
      </c>
      <c r="AL250" s="93" t="s">
        <v>1501</v>
      </c>
      <c r="AM250" s="92" t="s">
        <v>1502</v>
      </c>
      <c r="AW250" s="103"/>
      <c r="BI250" s="103"/>
    </row>
    <row r="251" spans="6:61" x14ac:dyDescent="0.2">
      <c r="F251" s="28"/>
      <c r="AJ251" s="92" t="s">
        <v>4286</v>
      </c>
      <c r="AL251" s="93" t="s">
        <v>1503</v>
      </c>
      <c r="AM251" s="92" t="s">
        <v>1504</v>
      </c>
      <c r="AW251" s="103"/>
      <c r="BI251" s="103"/>
    </row>
    <row r="252" spans="6:61" x14ac:dyDescent="0.2">
      <c r="F252" s="28"/>
      <c r="AJ252" s="92" t="s">
        <v>4287</v>
      </c>
      <c r="AL252" s="93" t="s">
        <v>1505</v>
      </c>
      <c r="AM252" s="92" t="s">
        <v>1506</v>
      </c>
      <c r="AW252" s="103"/>
      <c r="BI252" s="103"/>
    </row>
    <row r="253" spans="6:61" x14ac:dyDescent="0.2">
      <c r="F253" s="28"/>
      <c r="AJ253" s="92" t="s">
        <v>4288</v>
      </c>
      <c r="AL253" s="93" t="s">
        <v>1507</v>
      </c>
      <c r="AM253" s="92" t="s">
        <v>1508</v>
      </c>
      <c r="AW253" s="103"/>
      <c r="BI253" s="103"/>
    </row>
    <row r="254" spans="6:61" x14ac:dyDescent="0.2">
      <c r="F254" s="28"/>
      <c r="AJ254" s="92" t="s">
        <v>4289</v>
      </c>
      <c r="AL254" s="93" t="s">
        <v>1509</v>
      </c>
      <c r="AM254" s="92" t="s">
        <v>1510</v>
      </c>
      <c r="AW254" s="103"/>
      <c r="BI254" s="103"/>
    </row>
    <row r="255" spans="6:61" x14ac:dyDescent="0.2">
      <c r="F255" s="28"/>
      <c r="AJ255" s="92" t="s">
        <v>4290</v>
      </c>
      <c r="AL255" s="93" t="s">
        <v>1511</v>
      </c>
      <c r="AM255" s="92" t="s">
        <v>1512</v>
      </c>
      <c r="AW255" s="103"/>
      <c r="BI255" s="103"/>
    </row>
    <row r="256" spans="6:61" x14ac:dyDescent="0.2">
      <c r="F256" s="28"/>
      <c r="AJ256" s="92" t="s">
        <v>4291</v>
      </c>
      <c r="AL256" s="93" t="s">
        <v>1513</v>
      </c>
      <c r="AM256" s="92" t="s">
        <v>1514</v>
      </c>
      <c r="AW256" s="103"/>
      <c r="BI256" s="103"/>
    </row>
    <row r="257" spans="6:61" x14ac:dyDescent="0.2">
      <c r="F257" s="28"/>
      <c r="AJ257" s="92" t="s">
        <v>4292</v>
      </c>
      <c r="AL257" s="93" t="s">
        <v>1515</v>
      </c>
      <c r="AM257" s="92" t="s">
        <v>1516</v>
      </c>
      <c r="AW257" s="103"/>
      <c r="BI257" s="103"/>
    </row>
    <row r="258" spans="6:61" x14ac:dyDescent="0.2">
      <c r="F258" s="28"/>
      <c r="AJ258" s="92" t="s">
        <v>4293</v>
      </c>
      <c r="AL258" s="93" t="s">
        <v>1517</v>
      </c>
      <c r="AM258" s="92" t="s">
        <v>1518</v>
      </c>
      <c r="AW258" s="103"/>
      <c r="BI258" s="103"/>
    </row>
    <row r="259" spans="6:61" x14ac:dyDescent="0.2">
      <c r="F259" s="28"/>
      <c r="AJ259" s="92" t="s">
        <v>4294</v>
      </c>
      <c r="AL259" s="93" t="s">
        <v>1519</v>
      </c>
      <c r="AM259" s="92" t="s">
        <v>1520</v>
      </c>
      <c r="AW259" s="103"/>
      <c r="BI259" s="103"/>
    </row>
    <row r="260" spans="6:61" x14ac:dyDescent="0.2">
      <c r="F260" s="28"/>
      <c r="AJ260" s="92" t="s">
        <v>4295</v>
      </c>
      <c r="AL260" s="93" t="s">
        <v>1521</v>
      </c>
      <c r="AM260" s="92" t="s">
        <v>1522</v>
      </c>
      <c r="AW260" s="103"/>
      <c r="BI260" s="103"/>
    </row>
    <row r="261" spans="6:61" x14ac:dyDescent="0.2">
      <c r="F261" s="28"/>
      <c r="AJ261" s="92" t="s">
        <v>4296</v>
      </c>
      <c r="AL261" s="93" t="s">
        <v>1523</v>
      </c>
      <c r="AM261" s="92" t="s">
        <v>1524</v>
      </c>
      <c r="AW261" s="103"/>
      <c r="BI261" s="103"/>
    </row>
    <row r="262" spans="6:61" x14ac:dyDescent="0.2">
      <c r="F262" s="28"/>
      <c r="AJ262" s="92" t="s">
        <v>4297</v>
      </c>
      <c r="AL262" s="93" t="s">
        <v>1525</v>
      </c>
      <c r="AM262" s="92" t="s">
        <v>1526</v>
      </c>
      <c r="AW262" s="103"/>
      <c r="BI262" s="103"/>
    </row>
    <row r="263" spans="6:61" x14ac:dyDescent="0.2">
      <c r="F263" s="28"/>
      <c r="AJ263" s="92" t="s">
        <v>4298</v>
      </c>
      <c r="AL263" s="93" t="s">
        <v>1527</v>
      </c>
      <c r="AM263" s="92" t="s">
        <v>1528</v>
      </c>
      <c r="AW263" s="103"/>
      <c r="BI263" s="103"/>
    </row>
    <row r="264" spans="6:61" x14ac:dyDescent="0.2">
      <c r="F264" s="28"/>
      <c r="AJ264" s="92" t="s">
        <v>4299</v>
      </c>
      <c r="AL264" s="93" t="s">
        <v>1529</v>
      </c>
      <c r="AM264" s="92" t="s">
        <v>1530</v>
      </c>
      <c r="AW264" s="103"/>
      <c r="BI264" s="103"/>
    </row>
    <row r="265" spans="6:61" x14ac:dyDescent="0.2">
      <c r="F265" s="28"/>
      <c r="AJ265" s="92" t="s">
        <v>4300</v>
      </c>
      <c r="AL265" s="93" t="s">
        <v>1531</v>
      </c>
      <c r="AM265" s="92" t="s">
        <v>1532</v>
      </c>
      <c r="AW265" s="103"/>
      <c r="BI265" s="103"/>
    </row>
    <row r="266" spans="6:61" x14ac:dyDescent="0.2">
      <c r="F266" s="28"/>
      <c r="AJ266" s="92" t="s">
        <v>4301</v>
      </c>
      <c r="AL266" s="93" t="s">
        <v>1533</v>
      </c>
      <c r="AM266" s="92" t="s">
        <v>1534</v>
      </c>
      <c r="AW266" s="103"/>
      <c r="BI266" s="103"/>
    </row>
    <row r="267" spans="6:61" x14ac:dyDescent="0.2">
      <c r="F267" s="28"/>
      <c r="AJ267" s="92" t="s">
        <v>4302</v>
      </c>
      <c r="AL267" s="93" t="s">
        <v>1535</v>
      </c>
      <c r="AM267" s="92" t="s">
        <v>1536</v>
      </c>
      <c r="AW267" s="103"/>
      <c r="BI267" s="103"/>
    </row>
    <row r="268" spans="6:61" x14ac:dyDescent="0.2">
      <c r="F268" s="28"/>
      <c r="AJ268" s="92" t="s">
        <v>4303</v>
      </c>
      <c r="AL268" s="93" t="s">
        <v>1537</v>
      </c>
      <c r="AM268" s="92" t="s">
        <v>1538</v>
      </c>
      <c r="AW268" s="103"/>
      <c r="BI268" s="103"/>
    </row>
    <row r="269" spans="6:61" x14ac:dyDescent="0.2">
      <c r="F269" s="28"/>
      <c r="AJ269" s="92" t="s">
        <v>4304</v>
      </c>
      <c r="AL269" s="93" t="s">
        <v>1539</v>
      </c>
      <c r="AM269" s="92" t="s">
        <v>1540</v>
      </c>
      <c r="AW269" s="103"/>
      <c r="BI269" s="103"/>
    </row>
    <row r="270" spans="6:61" x14ac:dyDescent="0.2">
      <c r="F270" s="28"/>
      <c r="AJ270" s="92" t="s">
        <v>4305</v>
      </c>
      <c r="AL270" s="93" t="s">
        <v>1541</v>
      </c>
      <c r="AM270" s="92" t="s">
        <v>1542</v>
      </c>
      <c r="AW270" s="103"/>
      <c r="BI270" s="103"/>
    </row>
    <row r="271" spans="6:61" x14ac:dyDescent="0.2">
      <c r="F271" s="28"/>
      <c r="AJ271" s="92" t="s">
        <v>4306</v>
      </c>
      <c r="AL271" s="93" t="s">
        <v>1543</v>
      </c>
      <c r="AM271" s="92" t="s">
        <v>1544</v>
      </c>
      <c r="AW271" s="103"/>
      <c r="BI271" s="103"/>
    </row>
    <row r="272" spans="6:61" x14ac:dyDescent="0.2">
      <c r="F272" s="28"/>
      <c r="AJ272" s="92" t="s">
        <v>4307</v>
      </c>
      <c r="AL272" s="93" t="s">
        <v>1545</v>
      </c>
      <c r="AM272" s="92" t="s">
        <v>1546</v>
      </c>
      <c r="AW272" s="103"/>
      <c r="BI272" s="103"/>
    </row>
    <row r="273" spans="6:61" x14ac:dyDescent="0.2">
      <c r="F273" s="28"/>
      <c r="AJ273" s="92" t="s">
        <v>4308</v>
      </c>
      <c r="AL273" s="93" t="s">
        <v>1547</v>
      </c>
      <c r="AM273" s="92" t="s">
        <v>1548</v>
      </c>
      <c r="AW273" s="103"/>
      <c r="BI273" s="103"/>
    </row>
    <row r="274" spans="6:61" x14ac:dyDescent="0.2">
      <c r="F274" s="28"/>
      <c r="AJ274" s="92" t="s">
        <v>4309</v>
      </c>
      <c r="AL274" s="93" t="s">
        <v>1549</v>
      </c>
      <c r="AM274" s="92" t="s">
        <v>1550</v>
      </c>
      <c r="AW274" s="103"/>
      <c r="BI274" s="103"/>
    </row>
    <row r="275" spans="6:61" x14ac:dyDescent="0.2">
      <c r="F275" s="28"/>
      <c r="AJ275" s="92" t="s">
        <v>4310</v>
      </c>
      <c r="AL275" s="93" t="s">
        <v>1551</v>
      </c>
      <c r="AM275" s="92" t="s">
        <v>1552</v>
      </c>
      <c r="AW275" s="103"/>
      <c r="BI275" s="103"/>
    </row>
    <row r="276" spans="6:61" ht="15" x14ac:dyDescent="0.25">
      <c r="F276" s="28"/>
      <c r="AJ276" s="92" t="s">
        <v>4311</v>
      </c>
      <c r="AL276" s="93" t="s">
        <v>1553</v>
      </c>
      <c r="AM276" s="92" t="s">
        <v>1554</v>
      </c>
      <c r="AW276" s="103"/>
      <c r="BI276"/>
    </row>
    <row r="277" spans="6:61" ht="15" x14ac:dyDescent="0.25">
      <c r="F277" s="28"/>
      <c r="AJ277" s="92" t="s">
        <v>4312</v>
      </c>
      <c r="AL277" s="93" t="s">
        <v>1555</v>
      </c>
      <c r="AM277" s="92" t="s">
        <v>1556</v>
      </c>
      <c r="AW277" s="103"/>
      <c r="BI277"/>
    </row>
    <row r="278" spans="6:61" ht="15" x14ac:dyDescent="0.25">
      <c r="F278" s="28"/>
      <c r="AJ278" s="92" t="s">
        <v>4313</v>
      </c>
      <c r="AL278" s="93" t="s">
        <v>1557</v>
      </c>
      <c r="AM278" s="92" t="s">
        <v>1558</v>
      </c>
      <c r="AW278" s="103"/>
      <c r="BI278"/>
    </row>
    <row r="279" spans="6:61" ht="15" x14ac:dyDescent="0.25">
      <c r="F279" s="28"/>
      <c r="AJ279" s="92" t="s">
        <v>4314</v>
      </c>
      <c r="AL279" s="93" t="s">
        <v>1559</v>
      </c>
      <c r="AM279" s="92" t="s">
        <v>1560</v>
      </c>
      <c r="AW279" s="103"/>
      <c r="BI279"/>
    </row>
    <row r="280" spans="6:61" ht="15" x14ac:dyDescent="0.25">
      <c r="F280" s="28"/>
      <c r="AJ280" s="92" t="s">
        <v>4315</v>
      </c>
      <c r="AL280" s="93" t="s">
        <v>1561</v>
      </c>
      <c r="AM280" s="92" t="s">
        <v>1562</v>
      </c>
      <c r="AW280" s="103"/>
      <c r="BI280"/>
    </row>
    <row r="281" spans="6:61" ht="15" x14ac:dyDescent="0.25">
      <c r="F281" s="28"/>
      <c r="AJ281" s="92" t="s">
        <v>4316</v>
      </c>
      <c r="AL281" s="93" t="s">
        <v>1563</v>
      </c>
      <c r="AM281" s="92" t="s">
        <v>1564</v>
      </c>
      <c r="AW281" s="103"/>
      <c r="BI281"/>
    </row>
    <row r="282" spans="6:61" ht="15" x14ac:dyDescent="0.25">
      <c r="F282" s="28"/>
      <c r="AJ282" s="92" t="s">
        <v>4317</v>
      </c>
      <c r="AL282" s="93" t="s">
        <v>1565</v>
      </c>
      <c r="AM282" s="92" t="s">
        <v>1566</v>
      </c>
      <c r="AW282" s="103"/>
      <c r="BI282"/>
    </row>
    <row r="283" spans="6:61" ht="15" x14ac:dyDescent="0.25">
      <c r="F283" s="28"/>
      <c r="AJ283" s="92" t="s">
        <v>4318</v>
      </c>
      <c r="AL283" s="93" t="s">
        <v>1567</v>
      </c>
      <c r="AM283" s="92" t="s">
        <v>1568</v>
      </c>
      <c r="AW283" s="103"/>
      <c r="BI283"/>
    </row>
    <row r="284" spans="6:61" ht="15" x14ac:dyDescent="0.25">
      <c r="F284" s="28"/>
      <c r="AJ284" s="92" t="s">
        <v>4319</v>
      </c>
      <c r="AL284" s="93" t="s">
        <v>1569</v>
      </c>
      <c r="AM284" s="92" t="s">
        <v>1570</v>
      </c>
      <c r="AW284" s="103"/>
      <c r="BI284"/>
    </row>
    <row r="285" spans="6:61" ht="15" x14ac:dyDescent="0.25">
      <c r="F285" s="28"/>
      <c r="AJ285" s="92" t="s">
        <v>4320</v>
      </c>
      <c r="AL285" s="93" t="s">
        <v>1571</v>
      </c>
      <c r="AM285" s="92" t="s">
        <v>1572</v>
      </c>
      <c r="AW285" s="103"/>
      <c r="BI285"/>
    </row>
    <row r="286" spans="6:61" ht="15" x14ac:dyDescent="0.25">
      <c r="F286" s="28"/>
      <c r="AJ286" s="92" t="s">
        <v>4321</v>
      </c>
      <c r="AL286" s="93" t="s">
        <v>1573</v>
      </c>
      <c r="AM286" s="92" t="s">
        <v>1574</v>
      </c>
      <c r="AW286" s="103"/>
      <c r="BI286"/>
    </row>
    <row r="287" spans="6:61" ht="15" x14ac:dyDescent="0.25">
      <c r="F287" s="28"/>
      <c r="AJ287" s="92" t="s">
        <v>4322</v>
      </c>
      <c r="AL287" s="93" t="s">
        <v>1575</v>
      </c>
      <c r="AM287" s="92" t="s">
        <v>1576</v>
      </c>
      <c r="AW287" s="103"/>
      <c r="BI287"/>
    </row>
    <row r="288" spans="6:61" ht="15" x14ac:dyDescent="0.25">
      <c r="F288" s="28"/>
      <c r="AJ288" s="92" t="s">
        <v>4323</v>
      </c>
      <c r="AL288" s="93" t="s">
        <v>1577</v>
      </c>
      <c r="AM288" s="92" t="s">
        <v>1578</v>
      </c>
      <c r="AW288" s="103"/>
      <c r="BI288"/>
    </row>
    <row r="289" spans="6:61" ht="15" x14ac:dyDescent="0.25">
      <c r="F289" s="28"/>
      <c r="AJ289" s="92" t="s">
        <v>4324</v>
      </c>
      <c r="AL289" s="93" t="s">
        <v>1579</v>
      </c>
      <c r="AM289" s="92" t="s">
        <v>1580</v>
      </c>
      <c r="AW289" s="103"/>
      <c r="BI289"/>
    </row>
    <row r="290" spans="6:61" ht="15" x14ac:dyDescent="0.25">
      <c r="F290" s="28"/>
      <c r="AJ290" s="92" t="s">
        <v>4325</v>
      </c>
      <c r="AL290" s="93" t="s">
        <v>1581</v>
      </c>
      <c r="AM290" s="92" t="s">
        <v>1582</v>
      </c>
      <c r="AW290" s="103"/>
      <c r="BI290"/>
    </row>
    <row r="291" spans="6:61" ht="15" x14ac:dyDescent="0.25">
      <c r="F291" s="28"/>
      <c r="AJ291" s="92" t="s">
        <v>4326</v>
      </c>
      <c r="AL291" s="93" t="s">
        <v>1583</v>
      </c>
      <c r="AM291" s="92" t="s">
        <v>1584</v>
      </c>
      <c r="AW291" s="103"/>
      <c r="BI291"/>
    </row>
    <row r="292" spans="6:61" ht="15" x14ac:dyDescent="0.25">
      <c r="F292" s="28"/>
      <c r="AJ292" s="92" t="s">
        <v>4327</v>
      </c>
      <c r="AL292" s="93" t="s">
        <v>1585</v>
      </c>
      <c r="AM292" s="92" t="s">
        <v>1586</v>
      </c>
      <c r="AW292" s="103"/>
      <c r="BI292"/>
    </row>
    <row r="293" spans="6:61" ht="15" x14ac:dyDescent="0.25">
      <c r="F293" s="28"/>
      <c r="AJ293" s="92" t="s">
        <v>4328</v>
      </c>
      <c r="AL293" s="93" t="s">
        <v>1587</v>
      </c>
      <c r="AM293" s="92" t="s">
        <v>1588</v>
      </c>
      <c r="AW293" s="103"/>
      <c r="BI293"/>
    </row>
    <row r="294" spans="6:61" ht="15" x14ac:dyDescent="0.25">
      <c r="F294" s="28"/>
      <c r="AJ294" s="92" t="s">
        <v>4329</v>
      </c>
      <c r="AL294" s="93" t="s">
        <v>1589</v>
      </c>
      <c r="AM294" s="92" t="s">
        <v>1590</v>
      </c>
      <c r="AW294" s="103"/>
      <c r="BI294"/>
    </row>
    <row r="295" spans="6:61" ht="15" x14ac:dyDescent="0.25">
      <c r="AJ295" s="92" t="s">
        <v>4330</v>
      </c>
      <c r="AL295" s="93" t="s">
        <v>1591</v>
      </c>
      <c r="AM295" s="92" t="s">
        <v>1592</v>
      </c>
      <c r="AW295" s="103"/>
      <c r="BI295"/>
    </row>
    <row r="296" spans="6:61" ht="15" x14ac:dyDescent="0.25">
      <c r="AJ296" s="92" t="s">
        <v>4331</v>
      </c>
      <c r="AL296" s="93" t="s">
        <v>1593</v>
      </c>
      <c r="AM296" s="92" t="s">
        <v>1594</v>
      </c>
      <c r="AW296" s="103"/>
      <c r="BI296"/>
    </row>
    <row r="297" spans="6:61" ht="15" x14ac:dyDescent="0.25">
      <c r="AJ297" s="92" t="s">
        <v>4332</v>
      </c>
      <c r="AL297" s="93" t="s">
        <v>1595</v>
      </c>
      <c r="AM297" s="92" t="s">
        <v>1596</v>
      </c>
      <c r="AW297" s="103"/>
      <c r="BI297"/>
    </row>
    <row r="298" spans="6:61" ht="15" x14ac:dyDescent="0.25">
      <c r="AJ298" s="92" t="s">
        <v>4333</v>
      </c>
      <c r="AL298" s="93" t="s">
        <v>1597</v>
      </c>
      <c r="AM298" s="92" t="s">
        <v>1598</v>
      </c>
      <c r="AW298" s="103"/>
      <c r="BI298"/>
    </row>
    <row r="299" spans="6:61" ht="15" x14ac:dyDescent="0.25">
      <c r="AJ299" s="92" t="s">
        <v>4334</v>
      </c>
      <c r="AL299" s="93" t="s">
        <v>1599</v>
      </c>
      <c r="AM299" s="92" t="s">
        <v>1600</v>
      </c>
      <c r="AW299" s="103"/>
      <c r="BI299"/>
    </row>
    <row r="300" spans="6:61" ht="15" x14ac:dyDescent="0.25">
      <c r="AJ300" s="92" t="s">
        <v>4335</v>
      </c>
      <c r="AL300" s="93" t="s">
        <v>1601</v>
      </c>
      <c r="AM300" s="92" t="s">
        <v>1602</v>
      </c>
      <c r="AW300" s="103"/>
      <c r="BI300"/>
    </row>
    <row r="301" spans="6:61" ht="15" x14ac:dyDescent="0.25">
      <c r="AJ301" s="92" t="s">
        <v>4336</v>
      </c>
      <c r="AL301" s="93" t="s">
        <v>1603</v>
      </c>
      <c r="AM301" s="92" t="s">
        <v>1604</v>
      </c>
      <c r="AW301" s="103"/>
      <c r="BI301"/>
    </row>
    <row r="302" spans="6:61" ht="15" x14ac:dyDescent="0.25">
      <c r="AJ302" s="92" t="s">
        <v>4337</v>
      </c>
      <c r="AL302" s="93" t="s">
        <v>1605</v>
      </c>
      <c r="AM302" s="92" t="s">
        <v>1606</v>
      </c>
      <c r="AW302" s="103"/>
      <c r="BI302"/>
    </row>
    <row r="303" spans="6:61" ht="15" x14ac:dyDescent="0.25">
      <c r="AJ303" s="92" t="s">
        <v>4338</v>
      </c>
      <c r="AL303" s="93" t="s">
        <v>1607</v>
      </c>
      <c r="AM303" s="92" t="s">
        <v>1608</v>
      </c>
      <c r="AW303" s="103"/>
      <c r="BI303"/>
    </row>
    <row r="304" spans="6:61" ht="15" x14ac:dyDescent="0.25">
      <c r="AJ304" s="92" t="s">
        <v>4339</v>
      </c>
      <c r="AL304" s="93" t="s">
        <v>1609</v>
      </c>
      <c r="AM304" s="92" t="s">
        <v>1610</v>
      </c>
      <c r="AW304" s="103"/>
      <c r="BI304"/>
    </row>
    <row r="305" spans="36:61" ht="15" x14ac:dyDescent="0.25">
      <c r="AJ305" s="92" t="s">
        <v>4340</v>
      </c>
      <c r="AL305" s="93" t="s">
        <v>1611</v>
      </c>
      <c r="AM305" s="92" t="s">
        <v>1612</v>
      </c>
      <c r="AW305" s="103"/>
      <c r="BI305"/>
    </row>
    <row r="306" spans="36:61" ht="15" x14ac:dyDescent="0.25">
      <c r="AJ306" s="92" t="s">
        <v>4341</v>
      </c>
      <c r="AL306" s="93" t="s">
        <v>1613</v>
      </c>
      <c r="AM306" s="92" t="s">
        <v>1614</v>
      </c>
      <c r="AW306" s="103"/>
      <c r="BI306"/>
    </row>
    <row r="307" spans="36:61" ht="15" x14ac:dyDescent="0.25">
      <c r="AJ307" s="92" t="s">
        <v>4342</v>
      </c>
      <c r="AL307" s="93" t="s">
        <v>1615</v>
      </c>
      <c r="AM307" s="92" t="s">
        <v>1616</v>
      </c>
      <c r="AW307" s="103"/>
      <c r="BI307"/>
    </row>
    <row r="308" spans="36:61" ht="15" x14ac:dyDescent="0.25">
      <c r="AJ308" s="92" t="s">
        <v>4343</v>
      </c>
      <c r="AL308" s="93" t="s">
        <v>1617</v>
      </c>
      <c r="AM308" s="92" t="s">
        <v>1618</v>
      </c>
      <c r="AW308" s="103"/>
      <c r="BI308"/>
    </row>
    <row r="309" spans="36:61" ht="15" x14ac:dyDescent="0.25">
      <c r="AJ309" s="92" t="s">
        <v>4344</v>
      </c>
      <c r="AL309" s="93" t="s">
        <v>1619</v>
      </c>
      <c r="AM309" s="92" t="s">
        <v>1620</v>
      </c>
      <c r="AW309" s="103"/>
      <c r="BI309"/>
    </row>
    <row r="310" spans="36:61" ht="15" x14ac:dyDescent="0.25">
      <c r="AJ310" s="92" t="s">
        <v>4345</v>
      </c>
      <c r="AL310" s="93" t="s">
        <v>1621</v>
      </c>
      <c r="AM310" s="92" t="s">
        <v>1622</v>
      </c>
      <c r="AW310" s="103"/>
      <c r="BI310"/>
    </row>
    <row r="311" spans="36:61" ht="15" x14ac:dyDescent="0.25">
      <c r="AJ311" s="92" t="s">
        <v>4346</v>
      </c>
      <c r="AL311" s="93" t="s">
        <v>1623</v>
      </c>
      <c r="AM311" s="92" t="s">
        <v>1624</v>
      </c>
      <c r="AW311" s="103"/>
      <c r="BI311"/>
    </row>
    <row r="312" spans="36:61" ht="15" x14ac:dyDescent="0.25">
      <c r="AJ312" s="92" t="s">
        <v>4347</v>
      </c>
      <c r="AL312" s="93" t="s">
        <v>1625</v>
      </c>
      <c r="AM312" s="92" t="s">
        <v>1626</v>
      </c>
      <c r="AW312" s="103"/>
      <c r="BI312"/>
    </row>
    <row r="313" spans="36:61" ht="15" x14ac:dyDescent="0.25">
      <c r="AJ313" s="92" t="s">
        <v>4348</v>
      </c>
      <c r="AL313" s="93" t="s">
        <v>1627</v>
      </c>
      <c r="AM313" s="92" t="s">
        <v>1628</v>
      </c>
      <c r="AW313" s="103"/>
      <c r="BI313"/>
    </row>
    <row r="314" spans="36:61" ht="15" x14ac:dyDescent="0.25">
      <c r="AJ314" s="92" t="s">
        <v>4349</v>
      </c>
      <c r="AL314" s="93" t="s">
        <v>1629</v>
      </c>
      <c r="AM314" s="92" t="s">
        <v>1630</v>
      </c>
      <c r="AW314" s="103"/>
      <c r="BI314"/>
    </row>
    <row r="315" spans="36:61" ht="15" x14ac:dyDescent="0.25">
      <c r="AJ315" s="92" t="s">
        <v>4350</v>
      </c>
      <c r="AL315" s="93" t="s">
        <v>1631</v>
      </c>
      <c r="AM315" s="92" t="s">
        <v>1632</v>
      </c>
      <c r="AW315" s="103"/>
      <c r="BI315"/>
    </row>
    <row r="316" spans="36:61" ht="15" x14ac:dyDescent="0.25">
      <c r="AJ316" s="92" t="s">
        <v>4351</v>
      </c>
      <c r="AL316" s="93" t="s">
        <v>1633</v>
      </c>
      <c r="AM316" s="92" t="s">
        <v>1634</v>
      </c>
      <c r="AW316" s="103"/>
      <c r="BI316"/>
    </row>
    <row r="317" spans="36:61" ht="15" x14ac:dyDescent="0.25">
      <c r="AJ317" s="92" t="s">
        <v>4352</v>
      </c>
      <c r="AL317" s="93" t="s">
        <v>1635</v>
      </c>
      <c r="AM317" s="92" t="s">
        <v>1636</v>
      </c>
      <c r="AW317" s="103"/>
      <c r="BI317"/>
    </row>
    <row r="318" spans="36:61" ht="15" x14ac:dyDescent="0.25">
      <c r="AJ318" s="92" t="s">
        <v>4353</v>
      </c>
      <c r="AL318" s="93" t="s">
        <v>1637</v>
      </c>
      <c r="AM318" s="92" t="s">
        <v>1638</v>
      </c>
      <c r="AW318" s="103"/>
      <c r="BI318"/>
    </row>
    <row r="319" spans="36:61" ht="15" x14ac:dyDescent="0.25">
      <c r="AJ319" s="92" t="s">
        <v>4354</v>
      </c>
      <c r="AL319" s="93" t="s">
        <v>1639</v>
      </c>
      <c r="AM319" s="92" t="s">
        <v>1640</v>
      </c>
      <c r="AW319" s="103"/>
      <c r="BI319"/>
    </row>
    <row r="320" spans="36:61" ht="15" x14ac:dyDescent="0.25">
      <c r="AJ320" s="92" t="s">
        <v>4355</v>
      </c>
      <c r="AL320" s="93" t="s">
        <v>1641</v>
      </c>
      <c r="AM320" s="92" t="s">
        <v>1642</v>
      </c>
      <c r="AW320" s="103"/>
      <c r="BI320"/>
    </row>
    <row r="321" spans="36:61" ht="15" x14ac:dyDescent="0.25">
      <c r="AJ321" s="92" t="s">
        <v>4356</v>
      </c>
      <c r="AL321" s="93" t="s">
        <v>1643</v>
      </c>
      <c r="AM321" s="92" t="s">
        <v>1644</v>
      </c>
      <c r="AW321" s="103"/>
      <c r="BI321"/>
    </row>
    <row r="322" spans="36:61" ht="15" x14ac:dyDescent="0.25">
      <c r="AJ322" s="92" t="s">
        <v>4357</v>
      </c>
      <c r="AL322" s="93" t="s">
        <v>1645</v>
      </c>
      <c r="AM322" s="92" t="s">
        <v>1646</v>
      </c>
      <c r="AW322" s="103"/>
      <c r="BI322"/>
    </row>
    <row r="323" spans="36:61" ht="15" x14ac:dyDescent="0.25">
      <c r="AJ323" s="92" t="s">
        <v>4358</v>
      </c>
      <c r="AL323" s="93" t="s">
        <v>1647</v>
      </c>
      <c r="AM323" s="92" t="s">
        <v>1648</v>
      </c>
      <c r="AW323" s="103"/>
      <c r="BI323"/>
    </row>
    <row r="324" spans="36:61" ht="15" x14ac:dyDescent="0.25">
      <c r="AJ324" s="92" t="s">
        <v>4359</v>
      </c>
      <c r="AL324" s="93" t="s">
        <v>1649</v>
      </c>
      <c r="AM324" s="92" t="s">
        <v>1650</v>
      </c>
      <c r="AW324" s="103"/>
      <c r="BI324"/>
    </row>
    <row r="325" spans="36:61" ht="15" x14ac:dyDescent="0.25">
      <c r="AJ325" s="92" t="s">
        <v>4360</v>
      </c>
      <c r="AL325" s="93" t="s">
        <v>1651</v>
      </c>
      <c r="AM325" s="92" t="s">
        <v>1652</v>
      </c>
      <c r="AW325" s="103"/>
      <c r="BI325"/>
    </row>
    <row r="326" spans="36:61" ht="15" x14ac:dyDescent="0.25">
      <c r="AJ326" s="92" t="s">
        <v>4361</v>
      </c>
      <c r="AL326" s="93" t="s">
        <v>1653</v>
      </c>
      <c r="AM326" s="92" t="s">
        <v>1654</v>
      </c>
      <c r="AW326" s="103"/>
      <c r="BI326"/>
    </row>
    <row r="327" spans="36:61" ht="15" x14ac:dyDescent="0.25">
      <c r="AJ327" s="92" t="s">
        <v>4362</v>
      </c>
      <c r="AL327" s="93" t="s">
        <v>1655</v>
      </c>
      <c r="AM327" s="92" t="s">
        <v>1656</v>
      </c>
      <c r="AW327" s="103"/>
      <c r="BI327"/>
    </row>
    <row r="328" spans="36:61" ht="15" x14ac:dyDescent="0.25">
      <c r="AJ328" s="92" t="s">
        <v>4363</v>
      </c>
      <c r="AL328" s="93" t="s">
        <v>1657</v>
      </c>
      <c r="AM328" s="92" t="s">
        <v>1658</v>
      </c>
      <c r="AW328" s="103"/>
      <c r="BI328"/>
    </row>
    <row r="329" spans="36:61" ht="15" x14ac:dyDescent="0.25">
      <c r="AJ329" s="92" t="s">
        <v>4364</v>
      </c>
      <c r="AL329" s="93" t="s">
        <v>1659</v>
      </c>
      <c r="AM329" s="92" t="s">
        <v>1660</v>
      </c>
      <c r="AW329" s="103"/>
      <c r="BI329"/>
    </row>
    <row r="330" spans="36:61" ht="15" x14ac:dyDescent="0.25">
      <c r="AJ330" s="92" t="s">
        <v>4365</v>
      </c>
      <c r="AL330" s="93" t="s">
        <v>1661</v>
      </c>
      <c r="AM330" s="92" t="s">
        <v>1662</v>
      </c>
      <c r="AW330" s="103"/>
      <c r="BI330"/>
    </row>
    <row r="331" spans="36:61" ht="15" x14ac:dyDescent="0.25">
      <c r="AJ331" s="92" t="s">
        <v>4366</v>
      </c>
      <c r="AL331" s="93" t="s">
        <v>1663</v>
      </c>
      <c r="AM331" s="92" t="s">
        <v>1664</v>
      </c>
      <c r="AW331" s="103"/>
      <c r="BI331"/>
    </row>
    <row r="332" spans="36:61" ht="15" x14ac:dyDescent="0.25">
      <c r="AJ332" s="92" t="s">
        <v>4367</v>
      </c>
      <c r="AL332" s="93" t="s">
        <v>1665</v>
      </c>
      <c r="AM332" s="92" t="s">
        <v>1666</v>
      </c>
      <c r="AW332" s="103"/>
      <c r="BI332"/>
    </row>
    <row r="333" spans="36:61" ht="15" x14ac:dyDescent="0.25">
      <c r="AJ333" s="92" t="s">
        <v>4368</v>
      </c>
      <c r="AL333" s="93" t="s">
        <v>1667</v>
      </c>
      <c r="AM333" s="92" t="s">
        <v>1668</v>
      </c>
      <c r="AW333" s="103"/>
      <c r="BI333"/>
    </row>
    <row r="334" spans="36:61" ht="15" x14ac:dyDescent="0.25">
      <c r="AJ334" s="92" t="s">
        <v>4369</v>
      </c>
      <c r="AL334" s="93" t="s">
        <v>1669</v>
      </c>
      <c r="AM334" s="92" t="s">
        <v>1670</v>
      </c>
      <c r="AW334" s="103"/>
      <c r="BI334"/>
    </row>
    <row r="335" spans="36:61" ht="15" x14ac:dyDescent="0.25">
      <c r="AJ335" s="92" t="s">
        <v>4370</v>
      </c>
      <c r="AL335" s="93" t="s">
        <v>1671</v>
      </c>
      <c r="AM335" s="92" t="s">
        <v>1672</v>
      </c>
      <c r="AW335" s="103"/>
      <c r="BI335"/>
    </row>
    <row r="336" spans="36:61" ht="15" x14ac:dyDescent="0.25">
      <c r="AJ336" s="92" t="s">
        <v>4371</v>
      </c>
      <c r="AL336" s="93" t="s">
        <v>1673</v>
      </c>
      <c r="AM336" s="92" t="s">
        <v>1674</v>
      </c>
      <c r="AW336" s="103"/>
      <c r="BI336"/>
    </row>
    <row r="337" spans="36:61" ht="15" x14ac:dyDescent="0.25">
      <c r="AJ337" s="92" t="s">
        <v>4372</v>
      </c>
      <c r="AL337" s="93" t="s">
        <v>1675</v>
      </c>
      <c r="AM337" s="92" t="s">
        <v>1676</v>
      </c>
      <c r="AW337" s="103"/>
      <c r="BI337"/>
    </row>
    <row r="338" spans="36:61" ht="15" x14ac:dyDescent="0.25">
      <c r="AJ338" s="92" t="s">
        <v>4373</v>
      </c>
      <c r="AL338" s="93" t="s">
        <v>1677</v>
      </c>
      <c r="AM338" s="92" t="s">
        <v>1678</v>
      </c>
      <c r="AW338" s="103"/>
      <c r="BI338"/>
    </row>
    <row r="339" spans="36:61" ht="15" x14ac:dyDescent="0.25">
      <c r="AJ339" s="92" t="s">
        <v>4374</v>
      </c>
      <c r="AL339" s="93" t="s">
        <v>1679</v>
      </c>
      <c r="AM339" s="92" t="s">
        <v>1680</v>
      </c>
      <c r="AW339" s="103"/>
      <c r="BI339"/>
    </row>
    <row r="340" spans="36:61" ht="15" x14ac:dyDescent="0.25">
      <c r="AJ340" s="92" t="s">
        <v>4375</v>
      </c>
      <c r="AL340" s="93" t="s">
        <v>1681</v>
      </c>
      <c r="AM340" s="92" t="s">
        <v>1682</v>
      </c>
      <c r="AW340" s="103"/>
      <c r="BI340"/>
    </row>
    <row r="341" spans="36:61" ht="15" x14ac:dyDescent="0.25">
      <c r="AJ341" s="92" t="s">
        <v>4376</v>
      </c>
      <c r="AL341" s="93" t="s">
        <v>1683</v>
      </c>
      <c r="AM341" s="92" t="s">
        <v>1684</v>
      </c>
      <c r="AW341" s="103"/>
      <c r="BI341"/>
    </row>
    <row r="342" spans="36:61" ht="15" x14ac:dyDescent="0.25">
      <c r="AJ342" s="92" t="s">
        <v>4377</v>
      </c>
      <c r="AL342" s="93" t="s">
        <v>1685</v>
      </c>
      <c r="AM342" s="92" t="s">
        <v>1686</v>
      </c>
      <c r="AW342" s="103"/>
      <c r="BI342"/>
    </row>
    <row r="343" spans="36:61" ht="15" x14ac:dyDescent="0.25">
      <c r="AJ343" s="92" t="s">
        <v>4378</v>
      </c>
      <c r="AL343" s="93" t="s">
        <v>1687</v>
      </c>
      <c r="AM343" s="92" t="s">
        <v>1688</v>
      </c>
      <c r="AW343" s="103"/>
      <c r="BI343"/>
    </row>
    <row r="344" spans="36:61" ht="15" x14ac:dyDescent="0.25">
      <c r="AJ344" s="92" t="s">
        <v>4379</v>
      </c>
      <c r="AL344" s="93" t="s">
        <v>1689</v>
      </c>
      <c r="AM344" s="92" t="s">
        <v>1690</v>
      </c>
      <c r="AW344" s="103"/>
      <c r="BI344"/>
    </row>
    <row r="345" spans="36:61" ht="15" x14ac:dyDescent="0.25">
      <c r="AJ345" s="92" t="s">
        <v>4380</v>
      </c>
      <c r="AL345" s="93" t="s">
        <v>1691</v>
      </c>
      <c r="AM345" s="92" t="s">
        <v>1692</v>
      </c>
      <c r="AW345" s="103"/>
      <c r="BI345"/>
    </row>
    <row r="346" spans="36:61" ht="15" x14ac:dyDescent="0.25">
      <c r="AJ346" s="92" t="s">
        <v>4381</v>
      </c>
      <c r="AL346" s="93" t="s">
        <v>1693</v>
      </c>
      <c r="AM346" s="92" t="s">
        <v>1694</v>
      </c>
      <c r="AW346" s="103"/>
      <c r="BI346"/>
    </row>
    <row r="347" spans="36:61" ht="15" x14ac:dyDescent="0.25">
      <c r="AJ347" s="92" t="s">
        <v>4382</v>
      </c>
      <c r="AL347" s="93" t="s">
        <v>1695</v>
      </c>
      <c r="AM347" s="92" t="s">
        <v>1696</v>
      </c>
      <c r="AW347" s="103"/>
      <c r="BI347"/>
    </row>
    <row r="348" spans="36:61" ht="15" x14ac:dyDescent="0.25">
      <c r="AJ348" s="92" t="s">
        <v>4383</v>
      </c>
      <c r="AL348" s="93" t="s">
        <v>1697</v>
      </c>
      <c r="AM348" s="92" t="s">
        <v>1698</v>
      </c>
      <c r="AW348" s="103"/>
      <c r="BI348"/>
    </row>
    <row r="349" spans="36:61" ht="15" x14ac:dyDescent="0.25">
      <c r="AJ349" s="92" t="s">
        <v>4384</v>
      </c>
      <c r="AL349" s="93" t="s">
        <v>1699</v>
      </c>
      <c r="AM349" s="92" t="s">
        <v>1700</v>
      </c>
      <c r="AW349" s="103"/>
      <c r="BI349"/>
    </row>
    <row r="350" spans="36:61" ht="15" x14ac:dyDescent="0.25">
      <c r="AJ350" s="92" t="s">
        <v>4385</v>
      </c>
      <c r="AL350" s="93" t="s">
        <v>1701</v>
      </c>
      <c r="AM350" s="92" t="s">
        <v>1702</v>
      </c>
      <c r="AW350" s="103"/>
      <c r="BI350"/>
    </row>
    <row r="351" spans="36:61" ht="15" x14ac:dyDescent="0.25">
      <c r="AJ351" s="92" t="s">
        <v>4386</v>
      </c>
      <c r="AL351" s="93" t="s">
        <v>1703</v>
      </c>
      <c r="AM351" s="92" t="s">
        <v>1704</v>
      </c>
      <c r="AW351" s="103"/>
      <c r="BI351"/>
    </row>
    <row r="352" spans="36:61" ht="15" x14ac:dyDescent="0.25">
      <c r="AJ352" s="92" t="s">
        <v>4387</v>
      </c>
      <c r="AL352" s="93" t="s">
        <v>1705</v>
      </c>
      <c r="AM352" s="92" t="s">
        <v>1706</v>
      </c>
      <c r="AW352" s="103"/>
      <c r="BI352"/>
    </row>
    <row r="353" spans="36:61" ht="15" x14ac:dyDescent="0.25">
      <c r="AJ353" s="92" t="s">
        <v>4388</v>
      </c>
      <c r="AL353" s="93" t="s">
        <v>1707</v>
      </c>
      <c r="AM353" s="92" t="s">
        <v>1708</v>
      </c>
      <c r="AW353" s="103"/>
      <c r="BI353"/>
    </row>
    <row r="354" spans="36:61" ht="15" x14ac:dyDescent="0.25">
      <c r="AJ354" s="92" t="s">
        <v>4389</v>
      </c>
      <c r="AL354" s="93" t="s">
        <v>1709</v>
      </c>
      <c r="AM354" s="92" t="s">
        <v>1710</v>
      </c>
      <c r="AW354" s="103"/>
      <c r="BI354"/>
    </row>
    <row r="355" spans="36:61" ht="15" x14ac:dyDescent="0.25">
      <c r="AJ355" s="92" t="s">
        <v>4390</v>
      </c>
      <c r="AL355" s="93" t="s">
        <v>1711</v>
      </c>
      <c r="AM355" s="92" t="s">
        <v>1712</v>
      </c>
      <c r="AW355" s="103"/>
      <c r="BI355"/>
    </row>
    <row r="356" spans="36:61" ht="15" x14ac:dyDescent="0.25">
      <c r="AJ356" s="92" t="s">
        <v>4391</v>
      </c>
      <c r="AL356" s="93" t="s">
        <v>1713</v>
      </c>
      <c r="AM356" s="92" t="s">
        <v>1714</v>
      </c>
      <c r="AW356" s="103"/>
      <c r="BI356"/>
    </row>
    <row r="357" spans="36:61" ht="15" x14ac:dyDescent="0.25">
      <c r="AJ357" s="92" t="s">
        <v>4392</v>
      </c>
      <c r="AL357" s="93" t="s">
        <v>1715</v>
      </c>
      <c r="AM357" s="92" t="s">
        <v>1716</v>
      </c>
      <c r="AW357" s="103"/>
      <c r="BI357"/>
    </row>
    <row r="358" spans="36:61" ht="15" x14ac:dyDescent="0.25">
      <c r="AJ358" s="92" t="s">
        <v>4393</v>
      </c>
      <c r="AL358" s="93" t="s">
        <v>1717</v>
      </c>
      <c r="AM358" s="92" t="s">
        <v>1718</v>
      </c>
      <c r="AW358" s="103"/>
      <c r="BI358"/>
    </row>
    <row r="359" spans="36:61" ht="15" x14ac:dyDescent="0.25">
      <c r="AJ359" s="92" t="s">
        <v>4394</v>
      </c>
      <c r="AL359" s="93" t="s">
        <v>1719</v>
      </c>
      <c r="AM359" s="92" t="s">
        <v>1720</v>
      </c>
      <c r="AW359" s="103"/>
      <c r="BI359"/>
    </row>
    <row r="360" spans="36:61" ht="15" x14ac:dyDescent="0.25">
      <c r="AJ360" s="92" t="s">
        <v>4395</v>
      </c>
      <c r="AL360" s="93" t="s">
        <v>1721</v>
      </c>
      <c r="AM360" s="92" t="s">
        <v>1722</v>
      </c>
      <c r="AW360" s="103"/>
      <c r="BI360"/>
    </row>
    <row r="361" spans="36:61" ht="15" x14ac:dyDescent="0.25">
      <c r="AJ361" s="92" t="s">
        <v>4396</v>
      </c>
      <c r="AL361" s="93" t="s">
        <v>1723</v>
      </c>
      <c r="AM361" s="92" t="s">
        <v>1724</v>
      </c>
      <c r="AW361" s="103"/>
      <c r="BI361"/>
    </row>
    <row r="362" spans="36:61" ht="15" x14ac:dyDescent="0.25">
      <c r="AJ362" s="92" t="s">
        <v>4397</v>
      </c>
      <c r="AL362" s="93" t="s">
        <v>1725</v>
      </c>
      <c r="AM362" s="92" t="s">
        <v>1726</v>
      </c>
      <c r="AW362" s="103"/>
      <c r="BI362"/>
    </row>
    <row r="363" spans="36:61" ht="15" x14ac:dyDescent="0.25">
      <c r="AJ363" s="92" t="s">
        <v>4398</v>
      </c>
      <c r="AL363" s="93" t="s">
        <v>1727</v>
      </c>
      <c r="AM363" s="92" t="s">
        <v>1728</v>
      </c>
      <c r="AW363" s="103"/>
      <c r="BI363"/>
    </row>
    <row r="364" spans="36:61" ht="15" x14ac:dyDescent="0.25">
      <c r="AJ364" s="92" t="s">
        <v>4399</v>
      </c>
      <c r="AL364" s="93" t="s">
        <v>1729</v>
      </c>
      <c r="AM364" s="92" t="s">
        <v>1730</v>
      </c>
      <c r="AW364" s="103"/>
      <c r="BI364"/>
    </row>
    <row r="365" spans="36:61" ht="15" x14ac:dyDescent="0.25">
      <c r="AJ365" s="92" t="s">
        <v>4400</v>
      </c>
      <c r="AL365" s="93" t="s">
        <v>1731</v>
      </c>
      <c r="AM365" s="92" t="s">
        <v>1732</v>
      </c>
      <c r="AW365" s="103"/>
      <c r="BI365"/>
    </row>
    <row r="366" spans="36:61" ht="15" x14ac:dyDescent="0.25">
      <c r="AJ366" s="92" t="s">
        <v>4401</v>
      </c>
      <c r="AL366" s="93" t="s">
        <v>1733</v>
      </c>
      <c r="AM366" s="92" t="s">
        <v>1734</v>
      </c>
      <c r="AW366" s="103"/>
      <c r="BI366"/>
    </row>
    <row r="367" spans="36:61" ht="15" x14ac:dyDescent="0.25">
      <c r="AJ367" s="92" t="s">
        <v>4402</v>
      </c>
      <c r="AL367" s="93" t="s">
        <v>1735</v>
      </c>
      <c r="AM367" s="92" t="s">
        <v>1736</v>
      </c>
      <c r="AW367" s="103"/>
      <c r="BI367"/>
    </row>
    <row r="368" spans="36:61" ht="15" x14ac:dyDescent="0.25">
      <c r="AJ368" s="92" t="s">
        <v>4403</v>
      </c>
      <c r="AL368" s="93" t="s">
        <v>1737</v>
      </c>
      <c r="AM368" s="92" t="s">
        <v>1738</v>
      </c>
      <c r="AW368" s="103"/>
      <c r="BI368"/>
    </row>
    <row r="369" spans="36:61" ht="15" x14ac:dyDescent="0.25">
      <c r="AJ369" s="92" t="s">
        <v>4404</v>
      </c>
      <c r="AL369" s="93" t="s">
        <v>1739</v>
      </c>
      <c r="AM369" s="92" t="s">
        <v>1740</v>
      </c>
      <c r="AW369" s="103"/>
      <c r="BI369"/>
    </row>
    <row r="370" spans="36:61" ht="15" x14ac:dyDescent="0.25">
      <c r="AJ370" s="92" t="s">
        <v>4405</v>
      </c>
      <c r="AL370" s="93" t="s">
        <v>1741</v>
      </c>
      <c r="AM370" s="92" t="s">
        <v>1742</v>
      </c>
      <c r="AW370" s="103"/>
      <c r="BI370"/>
    </row>
    <row r="371" spans="36:61" ht="15" x14ac:dyDescent="0.25">
      <c r="AJ371" s="92" t="s">
        <v>4406</v>
      </c>
      <c r="AL371" s="93" t="s">
        <v>1743</v>
      </c>
      <c r="AM371" s="92" t="s">
        <v>1744</v>
      </c>
      <c r="AW371" s="103"/>
      <c r="BI371"/>
    </row>
    <row r="372" spans="36:61" ht="15" x14ac:dyDescent="0.25">
      <c r="AJ372" s="92" t="s">
        <v>4407</v>
      </c>
      <c r="AL372" s="93" t="s">
        <v>1745</v>
      </c>
      <c r="AM372" s="92" t="s">
        <v>1746</v>
      </c>
      <c r="AW372" s="103"/>
      <c r="BI372"/>
    </row>
    <row r="373" spans="36:61" ht="15" x14ac:dyDescent="0.25">
      <c r="AJ373" s="92" t="s">
        <v>4408</v>
      </c>
      <c r="AL373" s="93" t="s">
        <v>1747</v>
      </c>
      <c r="AM373" s="92" t="s">
        <v>1748</v>
      </c>
      <c r="AW373" s="103"/>
      <c r="BI373"/>
    </row>
    <row r="374" spans="36:61" ht="15" x14ac:dyDescent="0.25">
      <c r="AJ374" s="92" t="s">
        <v>4409</v>
      </c>
      <c r="AL374" s="93" t="s">
        <v>1749</v>
      </c>
      <c r="AM374" s="92" t="s">
        <v>1750</v>
      </c>
      <c r="AW374" s="103"/>
      <c r="BI374"/>
    </row>
    <row r="375" spans="36:61" ht="15" x14ac:dyDescent="0.25">
      <c r="AJ375" s="92" t="s">
        <v>4410</v>
      </c>
      <c r="AL375" s="93" t="s">
        <v>1751</v>
      </c>
      <c r="AM375" s="92" t="s">
        <v>1752</v>
      </c>
      <c r="AW375" s="103"/>
      <c r="BI375"/>
    </row>
    <row r="376" spans="36:61" ht="15" x14ac:dyDescent="0.25">
      <c r="AJ376" s="92" t="s">
        <v>4411</v>
      </c>
      <c r="AL376" s="93" t="s">
        <v>1753</v>
      </c>
      <c r="AM376" s="92" t="s">
        <v>1754</v>
      </c>
      <c r="AW376" s="103"/>
      <c r="BI376"/>
    </row>
    <row r="377" spans="36:61" ht="15" x14ac:dyDescent="0.25">
      <c r="AJ377" s="92" t="s">
        <v>4412</v>
      </c>
      <c r="AL377" s="93" t="s">
        <v>1755</v>
      </c>
      <c r="AM377" s="92" t="s">
        <v>1756</v>
      </c>
      <c r="AW377" s="103"/>
      <c r="BI377"/>
    </row>
    <row r="378" spans="36:61" ht="15" x14ac:dyDescent="0.25">
      <c r="AJ378" s="92" t="s">
        <v>4413</v>
      </c>
      <c r="AL378" s="93" t="s">
        <v>1757</v>
      </c>
      <c r="AM378" s="92" t="s">
        <v>1758</v>
      </c>
      <c r="AW378" s="103"/>
      <c r="BI378"/>
    </row>
    <row r="379" spans="36:61" ht="15" x14ac:dyDescent="0.25">
      <c r="AJ379" s="92" t="s">
        <v>4414</v>
      </c>
      <c r="AL379" s="93" t="s">
        <v>1759</v>
      </c>
      <c r="AM379" s="92" t="s">
        <v>1760</v>
      </c>
      <c r="AW379" s="103"/>
      <c r="BI379"/>
    </row>
    <row r="380" spans="36:61" ht="15" x14ac:dyDescent="0.25">
      <c r="AJ380" s="92" t="s">
        <v>4415</v>
      </c>
      <c r="AL380" s="93" t="s">
        <v>1761</v>
      </c>
      <c r="AM380" s="92" t="s">
        <v>1762</v>
      </c>
      <c r="AW380" s="103"/>
      <c r="BI380"/>
    </row>
    <row r="381" spans="36:61" ht="15" x14ac:dyDescent="0.25">
      <c r="AJ381" s="92" t="s">
        <v>4416</v>
      </c>
      <c r="AL381" s="93" t="s">
        <v>1763</v>
      </c>
      <c r="AM381" s="92" t="s">
        <v>1764</v>
      </c>
      <c r="AW381" s="103"/>
      <c r="BI381"/>
    </row>
    <row r="382" spans="36:61" ht="15" x14ac:dyDescent="0.25">
      <c r="AJ382" s="92" t="s">
        <v>4417</v>
      </c>
      <c r="AL382" s="93" t="s">
        <v>1765</v>
      </c>
      <c r="AM382" s="92" t="s">
        <v>1766</v>
      </c>
      <c r="AW382" s="103"/>
      <c r="BI382"/>
    </row>
    <row r="383" spans="36:61" ht="15" x14ac:dyDescent="0.25">
      <c r="AJ383" s="92" t="s">
        <v>4418</v>
      </c>
      <c r="AL383" s="93" t="s">
        <v>1767</v>
      </c>
      <c r="AM383" s="92" t="s">
        <v>1768</v>
      </c>
      <c r="AW383" s="103"/>
      <c r="BI383"/>
    </row>
    <row r="384" spans="36:61" ht="15" x14ac:dyDescent="0.25">
      <c r="AJ384" s="92" t="s">
        <v>4419</v>
      </c>
      <c r="AL384" s="93" t="s">
        <v>1769</v>
      </c>
      <c r="AM384" s="92" t="s">
        <v>1770</v>
      </c>
      <c r="AW384" s="103"/>
      <c r="BI384"/>
    </row>
    <row r="385" spans="36:61" ht="15" x14ac:dyDescent="0.25">
      <c r="AJ385" s="92" t="s">
        <v>4420</v>
      </c>
      <c r="AL385" s="93" t="s">
        <v>1771</v>
      </c>
      <c r="AM385" s="92" t="s">
        <v>1772</v>
      </c>
      <c r="AW385" s="103"/>
      <c r="BI385"/>
    </row>
    <row r="386" spans="36:61" ht="15" x14ac:dyDescent="0.25">
      <c r="AJ386" s="92" t="s">
        <v>4421</v>
      </c>
      <c r="AL386" s="93" t="s">
        <v>1773</v>
      </c>
      <c r="AM386" s="92" t="s">
        <v>1774</v>
      </c>
      <c r="AW386" s="103"/>
      <c r="BI386"/>
    </row>
    <row r="387" spans="36:61" ht="15" x14ac:dyDescent="0.25">
      <c r="AJ387" s="92" t="s">
        <v>4422</v>
      </c>
      <c r="AL387" s="93" t="s">
        <v>1775</v>
      </c>
      <c r="AM387" s="92" t="s">
        <v>1776</v>
      </c>
      <c r="AW387" s="103"/>
      <c r="BI387"/>
    </row>
    <row r="388" spans="36:61" ht="15" x14ac:dyDescent="0.25">
      <c r="AJ388" s="92" t="s">
        <v>4423</v>
      </c>
      <c r="AL388" s="93" t="s">
        <v>1777</v>
      </c>
      <c r="AM388" s="92" t="s">
        <v>1778</v>
      </c>
      <c r="AW388" s="103"/>
      <c r="BI388"/>
    </row>
    <row r="389" spans="36:61" ht="15" x14ac:dyDescent="0.25">
      <c r="AJ389" s="92" t="s">
        <v>4424</v>
      </c>
      <c r="AL389" s="93" t="s">
        <v>1779</v>
      </c>
      <c r="AM389" s="92" t="s">
        <v>1780</v>
      </c>
      <c r="AW389" s="103"/>
      <c r="BI389"/>
    </row>
    <row r="390" spans="36:61" ht="15" x14ac:dyDescent="0.25">
      <c r="AJ390" s="92" t="s">
        <v>4425</v>
      </c>
      <c r="AL390" s="93" t="s">
        <v>1781</v>
      </c>
      <c r="AM390" s="92" t="s">
        <v>1782</v>
      </c>
      <c r="AW390" s="103"/>
      <c r="BI390"/>
    </row>
    <row r="391" spans="36:61" ht="15" x14ac:dyDescent="0.25">
      <c r="AJ391" s="92" t="s">
        <v>4426</v>
      </c>
      <c r="AL391" s="93" t="s">
        <v>1783</v>
      </c>
      <c r="AM391" s="92" t="s">
        <v>1784</v>
      </c>
      <c r="AW391" s="103"/>
      <c r="BI391"/>
    </row>
    <row r="392" spans="36:61" ht="15" x14ac:dyDescent="0.25">
      <c r="AJ392" s="92" t="s">
        <v>4427</v>
      </c>
      <c r="AL392" s="93" t="s">
        <v>1785</v>
      </c>
      <c r="AM392" s="92" t="s">
        <v>1786</v>
      </c>
      <c r="AW392" s="103"/>
      <c r="BI392"/>
    </row>
    <row r="393" spans="36:61" ht="15" x14ac:dyDescent="0.25">
      <c r="AJ393" s="92" t="s">
        <v>4428</v>
      </c>
      <c r="AL393" s="93" t="s">
        <v>1787</v>
      </c>
      <c r="AM393" s="92" t="s">
        <v>1788</v>
      </c>
      <c r="AW393" s="103"/>
      <c r="BI393"/>
    </row>
    <row r="394" spans="36:61" ht="15" x14ac:dyDescent="0.25">
      <c r="AJ394" s="92" t="s">
        <v>4429</v>
      </c>
      <c r="AL394" s="93" t="s">
        <v>1789</v>
      </c>
      <c r="AM394" s="92" t="s">
        <v>1790</v>
      </c>
      <c r="AW394" s="103"/>
      <c r="BI394"/>
    </row>
    <row r="395" spans="36:61" ht="15" x14ac:dyDescent="0.25">
      <c r="AJ395" s="92" t="s">
        <v>4430</v>
      </c>
      <c r="AL395" s="93" t="s">
        <v>1791</v>
      </c>
      <c r="AM395" s="92" t="s">
        <v>1792</v>
      </c>
      <c r="AW395" s="103"/>
      <c r="BI395"/>
    </row>
    <row r="396" spans="36:61" ht="15" x14ac:dyDescent="0.25">
      <c r="AJ396" s="92" t="s">
        <v>4431</v>
      </c>
      <c r="AL396" s="93" t="s">
        <v>1793</v>
      </c>
      <c r="AM396" s="92" t="s">
        <v>1794</v>
      </c>
      <c r="AW396" s="103"/>
      <c r="BI396"/>
    </row>
    <row r="397" spans="36:61" ht="15" x14ac:dyDescent="0.25">
      <c r="AJ397" s="92" t="s">
        <v>4432</v>
      </c>
      <c r="AL397" s="93" t="s">
        <v>1795</v>
      </c>
      <c r="AM397" s="92" t="s">
        <v>1796</v>
      </c>
      <c r="AW397" s="103"/>
      <c r="BI397"/>
    </row>
    <row r="398" spans="36:61" ht="15" x14ac:dyDescent="0.25">
      <c r="AJ398" s="92" t="s">
        <v>4433</v>
      </c>
      <c r="AL398" s="93" t="s">
        <v>1797</v>
      </c>
      <c r="AM398" s="92" t="s">
        <v>1798</v>
      </c>
      <c r="AW398" s="103"/>
      <c r="BI398"/>
    </row>
    <row r="399" spans="36:61" ht="15" x14ac:dyDescent="0.25">
      <c r="AJ399" s="92" t="s">
        <v>4434</v>
      </c>
      <c r="AL399" s="93" t="s">
        <v>1799</v>
      </c>
      <c r="AM399" s="92" t="s">
        <v>1800</v>
      </c>
      <c r="AW399" s="103"/>
      <c r="BI399"/>
    </row>
    <row r="400" spans="36:61" ht="15" x14ac:dyDescent="0.25">
      <c r="AJ400" s="92" t="s">
        <v>4435</v>
      </c>
      <c r="AL400" s="93" t="s">
        <v>1801</v>
      </c>
      <c r="AM400" s="92" t="s">
        <v>1802</v>
      </c>
      <c r="AW400" s="103"/>
      <c r="BI400"/>
    </row>
    <row r="401" spans="36:61" ht="15" x14ac:dyDescent="0.25">
      <c r="AJ401" s="92" t="s">
        <v>4436</v>
      </c>
      <c r="AL401" s="93" t="s">
        <v>1803</v>
      </c>
      <c r="AM401" s="92" t="s">
        <v>1804</v>
      </c>
      <c r="AW401" s="103"/>
      <c r="BI401"/>
    </row>
    <row r="402" spans="36:61" ht="15" x14ac:dyDescent="0.25">
      <c r="AJ402" s="92" t="s">
        <v>4437</v>
      </c>
      <c r="AL402" s="93" t="s">
        <v>1805</v>
      </c>
      <c r="AM402" s="92" t="s">
        <v>1806</v>
      </c>
      <c r="AW402" s="103"/>
      <c r="BI402"/>
    </row>
    <row r="403" spans="36:61" ht="15" x14ac:dyDescent="0.25">
      <c r="AJ403" s="92" t="s">
        <v>4438</v>
      </c>
      <c r="AL403" s="93" t="s">
        <v>1807</v>
      </c>
      <c r="AM403" s="92" t="s">
        <v>1808</v>
      </c>
      <c r="AW403" s="103"/>
      <c r="BI403"/>
    </row>
    <row r="404" spans="36:61" ht="15" x14ac:dyDescent="0.25">
      <c r="AJ404" s="92" t="s">
        <v>4439</v>
      </c>
      <c r="AL404" s="93" t="s">
        <v>1809</v>
      </c>
      <c r="AM404" s="92" t="s">
        <v>1810</v>
      </c>
      <c r="AW404" s="103"/>
      <c r="BI404"/>
    </row>
    <row r="405" spans="36:61" ht="15" x14ac:dyDescent="0.25">
      <c r="AJ405" s="92" t="s">
        <v>4440</v>
      </c>
      <c r="AL405" s="93" t="s">
        <v>1811</v>
      </c>
      <c r="AM405" s="92" t="s">
        <v>1812</v>
      </c>
      <c r="AW405" s="103"/>
      <c r="BI405"/>
    </row>
    <row r="406" spans="36:61" ht="15" x14ac:dyDescent="0.25">
      <c r="AJ406" s="92" t="s">
        <v>4441</v>
      </c>
      <c r="AL406" s="93" t="s">
        <v>1813</v>
      </c>
      <c r="AM406" s="92" t="s">
        <v>1814</v>
      </c>
      <c r="AW406" s="103"/>
      <c r="BI406"/>
    </row>
    <row r="407" spans="36:61" ht="15" x14ac:dyDescent="0.25">
      <c r="AJ407" s="92" t="s">
        <v>4442</v>
      </c>
      <c r="AL407" s="93" t="s">
        <v>1815</v>
      </c>
      <c r="AM407" s="92" t="s">
        <v>1816</v>
      </c>
      <c r="AW407" s="103"/>
      <c r="BI407"/>
    </row>
    <row r="408" spans="36:61" ht="15" x14ac:dyDescent="0.25">
      <c r="AJ408" s="92" t="s">
        <v>4443</v>
      </c>
      <c r="AL408" s="93" t="s">
        <v>1817</v>
      </c>
      <c r="AM408" s="92" t="s">
        <v>1818</v>
      </c>
      <c r="AW408" s="103"/>
      <c r="BI408"/>
    </row>
    <row r="409" spans="36:61" ht="15" x14ac:dyDescent="0.25">
      <c r="AJ409" s="92" t="s">
        <v>4444</v>
      </c>
      <c r="AL409" s="93" t="s">
        <v>1819</v>
      </c>
      <c r="AM409" s="92" t="s">
        <v>1820</v>
      </c>
      <c r="AW409" s="103"/>
      <c r="BI409"/>
    </row>
    <row r="410" spans="36:61" ht="15" x14ac:dyDescent="0.25">
      <c r="AJ410" s="92" t="s">
        <v>4445</v>
      </c>
      <c r="AL410" s="93" t="s">
        <v>1821</v>
      </c>
      <c r="AM410" s="92" t="s">
        <v>1822</v>
      </c>
      <c r="AW410" s="103"/>
      <c r="BI410"/>
    </row>
    <row r="411" spans="36:61" ht="15" x14ac:dyDescent="0.25">
      <c r="AJ411" s="92" t="s">
        <v>4446</v>
      </c>
      <c r="AL411" s="93" t="s">
        <v>1823</v>
      </c>
      <c r="AM411" s="92" t="s">
        <v>1824</v>
      </c>
      <c r="AW411" s="103"/>
      <c r="BI411"/>
    </row>
    <row r="412" spans="36:61" ht="15" x14ac:dyDescent="0.25">
      <c r="AJ412" s="92" t="s">
        <v>4447</v>
      </c>
      <c r="AL412" s="93" t="s">
        <v>1825</v>
      </c>
      <c r="AM412" s="92" t="s">
        <v>1826</v>
      </c>
      <c r="AW412" s="103"/>
      <c r="BI412"/>
    </row>
    <row r="413" spans="36:61" ht="15" x14ac:dyDescent="0.25">
      <c r="AJ413" s="92" t="s">
        <v>4448</v>
      </c>
      <c r="AL413" s="93" t="s">
        <v>1827</v>
      </c>
      <c r="AM413" s="92" t="s">
        <v>1828</v>
      </c>
      <c r="AW413" s="103"/>
      <c r="BI413"/>
    </row>
    <row r="414" spans="36:61" ht="15" x14ac:dyDescent="0.25">
      <c r="AJ414" s="92" t="s">
        <v>4449</v>
      </c>
      <c r="AL414" s="93" t="s">
        <v>1829</v>
      </c>
      <c r="AM414" s="92" t="s">
        <v>1830</v>
      </c>
      <c r="AW414" s="103"/>
      <c r="BI414"/>
    </row>
    <row r="415" spans="36:61" ht="15" x14ac:dyDescent="0.25">
      <c r="AJ415" s="92" t="s">
        <v>4450</v>
      </c>
      <c r="AL415" s="93" t="s">
        <v>1831</v>
      </c>
      <c r="AM415" s="92" t="s">
        <v>1832</v>
      </c>
      <c r="AW415" s="103"/>
      <c r="BI415"/>
    </row>
    <row r="416" spans="36:61" ht="15" x14ac:dyDescent="0.25">
      <c r="AJ416" s="92" t="s">
        <v>4451</v>
      </c>
      <c r="AL416" s="93" t="s">
        <v>1833</v>
      </c>
      <c r="AM416" s="92" t="s">
        <v>1834</v>
      </c>
      <c r="AW416" s="103"/>
      <c r="BI416"/>
    </row>
    <row r="417" spans="36:61" ht="15" x14ac:dyDescent="0.25">
      <c r="AJ417" s="92" t="s">
        <v>4452</v>
      </c>
      <c r="AL417" s="93" t="s">
        <v>1835</v>
      </c>
      <c r="AM417" s="92" t="s">
        <v>1836</v>
      </c>
      <c r="AW417" s="103"/>
      <c r="BI417"/>
    </row>
    <row r="418" spans="36:61" ht="15" x14ac:dyDescent="0.25">
      <c r="AJ418" s="92" t="s">
        <v>4453</v>
      </c>
      <c r="AL418" s="93" t="s">
        <v>1837</v>
      </c>
      <c r="AM418" s="92" t="s">
        <v>1838</v>
      </c>
      <c r="AW418" s="103"/>
      <c r="BI418"/>
    </row>
    <row r="419" spans="36:61" ht="15" x14ac:dyDescent="0.25">
      <c r="AJ419" s="92" t="s">
        <v>4454</v>
      </c>
      <c r="AL419" s="93" t="s">
        <v>1839</v>
      </c>
      <c r="AM419" s="92" t="s">
        <v>1840</v>
      </c>
      <c r="AW419" s="103"/>
      <c r="BI419"/>
    </row>
    <row r="420" spans="36:61" ht="15" x14ac:dyDescent="0.25">
      <c r="AJ420" s="92" t="s">
        <v>4455</v>
      </c>
      <c r="AL420" s="93" t="s">
        <v>1841</v>
      </c>
      <c r="AM420" s="92" t="s">
        <v>1842</v>
      </c>
      <c r="AW420" s="103"/>
      <c r="BI420"/>
    </row>
    <row r="421" spans="36:61" ht="15" x14ac:dyDescent="0.25">
      <c r="AL421" s="93" t="s">
        <v>1843</v>
      </c>
      <c r="AM421" s="92" t="s">
        <v>1844</v>
      </c>
      <c r="AW421" s="103"/>
      <c r="BI421"/>
    </row>
    <row r="422" spans="36:61" ht="15" x14ac:dyDescent="0.25">
      <c r="AL422" s="93" t="s">
        <v>1845</v>
      </c>
      <c r="AM422" s="92" t="s">
        <v>1846</v>
      </c>
      <c r="AW422" s="103"/>
      <c r="BI422"/>
    </row>
    <row r="423" spans="36:61" ht="15" x14ac:dyDescent="0.25">
      <c r="AL423" s="93" t="s">
        <v>1847</v>
      </c>
      <c r="AM423" s="92" t="s">
        <v>1848</v>
      </c>
      <c r="AW423" s="103"/>
      <c r="BI423"/>
    </row>
    <row r="424" spans="36:61" ht="15" x14ac:dyDescent="0.25">
      <c r="AL424" s="93" t="s">
        <v>1849</v>
      </c>
      <c r="AM424" s="92" t="s">
        <v>1850</v>
      </c>
      <c r="AW424" s="103"/>
      <c r="BI424"/>
    </row>
    <row r="425" spans="36:61" ht="15" x14ac:dyDescent="0.25">
      <c r="AL425" s="93" t="s">
        <v>1851</v>
      </c>
      <c r="AM425" s="92" t="s">
        <v>1852</v>
      </c>
      <c r="AW425" s="103"/>
      <c r="BI425"/>
    </row>
    <row r="426" spans="36:61" ht="15" x14ac:dyDescent="0.25">
      <c r="AL426" s="93" t="s">
        <v>1853</v>
      </c>
      <c r="AM426" s="92" t="s">
        <v>1854</v>
      </c>
      <c r="AW426" s="103"/>
      <c r="BI426"/>
    </row>
    <row r="427" spans="36:61" ht="15" x14ac:dyDescent="0.25">
      <c r="AL427" s="93" t="s">
        <v>1855</v>
      </c>
      <c r="AM427" s="92" t="s">
        <v>1856</v>
      </c>
      <c r="AW427" s="103"/>
      <c r="BI427"/>
    </row>
    <row r="428" spans="36:61" ht="15" x14ac:dyDescent="0.25">
      <c r="AL428" s="93" t="s">
        <v>1857</v>
      </c>
      <c r="AM428" s="92" t="s">
        <v>1858</v>
      </c>
      <c r="AW428" s="103"/>
      <c r="BI428"/>
    </row>
    <row r="429" spans="36:61" ht="15" x14ac:dyDescent="0.25">
      <c r="AL429" s="93" t="s">
        <v>1859</v>
      </c>
      <c r="AM429" s="92" t="s">
        <v>1860</v>
      </c>
      <c r="AW429" s="103"/>
      <c r="BI429"/>
    </row>
    <row r="430" spans="36:61" ht="15" x14ac:dyDescent="0.25">
      <c r="AL430" s="93" t="s">
        <v>1861</v>
      </c>
      <c r="AM430" s="92" t="s">
        <v>1862</v>
      </c>
      <c r="AW430" s="103"/>
      <c r="BI430"/>
    </row>
    <row r="431" spans="36:61" ht="15" x14ac:dyDescent="0.25">
      <c r="AL431" s="93" t="s">
        <v>1863</v>
      </c>
      <c r="AM431" s="92" t="s">
        <v>1864</v>
      </c>
      <c r="AW431" s="103"/>
      <c r="BI431"/>
    </row>
    <row r="432" spans="36:61" ht="15" x14ac:dyDescent="0.25">
      <c r="AL432" s="93" t="s">
        <v>1865</v>
      </c>
      <c r="AM432" s="92" t="s">
        <v>1866</v>
      </c>
      <c r="AW432" s="103"/>
      <c r="BI432"/>
    </row>
    <row r="433" spans="38:61" ht="15" x14ac:dyDescent="0.25">
      <c r="AL433" s="93" t="s">
        <v>1867</v>
      </c>
      <c r="AM433" s="92" t="s">
        <v>1868</v>
      </c>
      <c r="AW433" s="103"/>
      <c r="BI433"/>
    </row>
    <row r="434" spans="38:61" ht="15" x14ac:dyDescent="0.25">
      <c r="AL434" s="93" t="s">
        <v>1869</v>
      </c>
      <c r="AM434" s="92" t="s">
        <v>1870</v>
      </c>
      <c r="AW434" s="103"/>
      <c r="BI434"/>
    </row>
    <row r="435" spans="38:61" ht="15" x14ac:dyDescent="0.25">
      <c r="AL435" s="93" t="s">
        <v>1871</v>
      </c>
      <c r="AM435" s="92" t="s">
        <v>1872</v>
      </c>
      <c r="AW435" s="103"/>
      <c r="BI435"/>
    </row>
    <row r="436" spans="38:61" ht="15" x14ac:dyDescent="0.25">
      <c r="AL436" s="93" t="s">
        <v>1873</v>
      </c>
      <c r="AM436" s="92" t="s">
        <v>1874</v>
      </c>
      <c r="AW436" s="103"/>
      <c r="BI436"/>
    </row>
    <row r="437" spans="38:61" ht="15" x14ac:dyDescent="0.25">
      <c r="AL437" s="93" t="s">
        <v>1875</v>
      </c>
      <c r="AM437" s="92" t="s">
        <v>1876</v>
      </c>
      <c r="AW437" s="103"/>
      <c r="BI437"/>
    </row>
    <row r="438" spans="38:61" ht="15" x14ac:dyDescent="0.25">
      <c r="AL438" s="93" t="s">
        <v>1877</v>
      </c>
      <c r="AM438" s="92" t="s">
        <v>1878</v>
      </c>
      <c r="AW438" s="103"/>
      <c r="BI438"/>
    </row>
    <row r="439" spans="38:61" ht="15" x14ac:dyDescent="0.25">
      <c r="AL439" s="93" t="s">
        <v>1879</v>
      </c>
      <c r="AM439" s="92" t="s">
        <v>1880</v>
      </c>
      <c r="AW439" s="103"/>
      <c r="BI439"/>
    </row>
    <row r="440" spans="38:61" ht="15" x14ac:dyDescent="0.25">
      <c r="AL440" s="93" t="s">
        <v>1881</v>
      </c>
      <c r="AM440" s="92" t="s">
        <v>1882</v>
      </c>
      <c r="AW440" s="103"/>
      <c r="BI440"/>
    </row>
    <row r="441" spans="38:61" ht="15" x14ac:dyDescent="0.25">
      <c r="AL441" s="93" t="s">
        <v>1883</v>
      </c>
      <c r="AM441" s="92" t="s">
        <v>1884</v>
      </c>
      <c r="AW441" s="103"/>
      <c r="BI441"/>
    </row>
    <row r="442" spans="38:61" ht="15" x14ac:dyDescent="0.25">
      <c r="AL442" s="93" t="s">
        <v>1885</v>
      </c>
      <c r="AM442" s="92" t="s">
        <v>1886</v>
      </c>
      <c r="AW442" s="103"/>
      <c r="BI442"/>
    </row>
    <row r="443" spans="38:61" ht="15" x14ac:dyDescent="0.25">
      <c r="AL443" s="93" t="s">
        <v>1887</v>
      </c>
      <c r="AM443" s="92" t="s">
        <v>1888</v>
      </c>
      <c r="AW443" s="103"/>
      <c r="BI443"/>
    </row>
    <row r="444" spans="38:61" ht="15" x14ac:dyDescent="0.25">
      <c r="AL444" s="93" t="s">
        <v>1889</v>
      </c>
      <c r="AM444" s="92" t="s">
        <v>1890</v>
      </c>
      <c r="AW444" s="103"/>
      <c r="BI444"/>
    </row>
    <row r="445" spans="38:61" ht="15" x14ac:dyDescent="0.25">
      <c r="AL445" s="93" t="s">
        <v>1891</v>
      </c>
      <c r="AM445" s="92" t="s">
        <v>1892</v>
      </c>
      <c r="AW445" s="103"/>
      <c r="BI445"/>
    </row>
    <row r="446" spans="38:61" ht="15" x14ac:dyDescent="0.25">
      <c r="AL446" s="93" t="s">
        <v>1893</v>
      </c>
      <c r="AM446" s="92" t="s">
        <v>1894</v>
      </c>
      <c r="AW446" s="103"/>
      <c r="BI446"/>
    </row>
    <row r="447" spans="38:61" ht="15" x14ac:dyDescent="0.25">
      <c r="AL447" s="93" t="s">
        <v>1895</v>
      </c>
      <c r="AM447" s="92" t="s">
        <v>1896</v>
      </c>
      <c r="AW447" s="103"/>
      <c r="BI447"/>
    </row>
    <row r="448" spans="38:61" ht="15" x14ac:dyDescent="0.25">
      <c r="AL448" s="93" t="s">
        <v>1897</v>
      </c>
      <c r="AM448" s="92" t="s">
        <v>1898</v>
      </c>
      <c r="AW448" s="103"/>
      <c r="BI448"/>
    </row>
    <row r="449" spans="38:61" ht="15" x14ac:dyDescent="0.25">
      <c r="AL449" s="93" t="s">
        <v>1899</v>
      </c>
      <c r="AM449" s="92" t="s">
        <v>1900</v>
      </c>
      <c r="AW449" s="103"/>
      <c r="BI449"/>
    </row>
    <row r="450" spans="38:61" ht="15" x14ac:dyDescent="0.25">
      <c r="AL450" s="93" t="s">
        <v>1901</v>
      </c>
      <c r="AM450" s="92" t="s">
        <v>1902</v>
      </c>
      <c r="AW450" s="103"/>
      <c r="BI450"/>
    </row>
    <row r="451" spans="38:61" ht="15" x14ac:dyDescent="0.25">
      <c r="AL451" s="93" t="s">
        <v>1903</v>
      </c>
      <c r="AM451" s="92" t="s">
        <v>1904</v>
      </c>
      <c r="AW451" s="103"/>
      <c r="BI451"/>
    </row>
    <row r="452" spans="38:61" ht="15" x14ac:dyDescent="0.25">
      <c r="AL452" s="93" t="s">
        <v>1905</v>
      </c>
      <c r="AM452" s="92" t="s">
        <v>1906</v>
      </c>
      <c r="AW452" s="103"/>
      <c r="BI452"/>
    </row>
    <row r="453" spans="38:61" ht="15" x14ac:dyDescent="0.25">
      <c r="AL453" s="93" t="s">
        <v>1907</v>
      </c>
      <c r="AM453" s="92" t="s">
        <v>1908</v>
      </c>
      <c r="AW453" s="103"/>
      <c r="BI453"/>
    </row>
    <row r="454" spans="38:61" ht="15" x14ac:dyDescent="0.25">
      <c r="AL454" s="93" t="s">
        <v>1909</v>
      </c>
      <c r="AM454" s="92" t="s">
        <v>1910</v>
      </c>
      <c r="AW454" s="103"/>
      <c r="BI454"/>
    </row>
    <row r="455" spans="38:61" ht="15" x14ac:dyDescent="0.25">
      <c r="AL455" s="93" t="s">
        <v>1911</v>
      </c>
      <c r="AM455" s="92" t="s">
        <v>1912</v>
      </c>
      <c r="AW455" s="103"/>
      <c r="BI455"/>
    </row>
    <row r="456" spans="38:61" ht="15" x14ac:dyDescent="0.25">
      <c r="AL456" s="93" t="s">
        <v>1913</v>
      </c>
      <c r="AM456" s="92" t="s">
        <v>1914</v>
      </c>
      <c r="AW456" s="103"/>
      <c r="BI456"/>
    </row>
    <row r="457" spans="38:61" ht="15" x14ac:dyDescent="0.25">
      <c r="AL457" s="93" t="s">
        <v>1915</v>
      </c>
      <c r="AM457" s="92" t="s">
        <v>1916</v>
      </c>
      <c r="AW457" s="103"/>
      <c r="BI457"/>
    </row>
    <row r="458" spans="38:61" ht="15" x14ac:dyDescent="0.25">
      <c r="AL458" s="93" t="s">
        <v>1917</v>
      </c>
      <c r="AM458" s="92" t="s">
        <v>1918</v>
      </c>
      <c r="AW458" s="103"/>
      <c r="BI458"/>
    </row>
    <row r="459" spans="38:61" ht="15" x14ac:dyDescent="0.25">
      <c r="AL459" s="93" t="s">
        <v>1919</v>
      </c>
      <c r="AM459" s="92" t="s">
        <v>1920</v>
      </c>
      <c r="AW459" s="103"/>
      <c r="BI459"/>
    </row>
    <row r="460" spans="38:61" ht="15" x14ac:dyDescent="0.25">
      <c r="AL460" s="93" t="s">
        <v>1921</v>
      </c>
      <c r="AM460" s="92" t="s">
        <v>1922</v>
      </c>
      <c r="AW460" s="103"/>
      <c r="BI460"/>
    </row>
    <row r="461" spans="38:61" ht="15" x14ac:dyDescent="0.25">
      <c r="AL461" s="93" t="s">
        <v>1923</v>
      </c>
      <c r="AM461" s="92" t="s">
        <v>1924</v>
      </c>
      <c r="AW461" s="103"/>
      <c r="BI461"/>
    </row>
    <row r="462" spans="38:61" ht="15" x14ac:dyDescent="0.25">
      <c r="AL462" s="93" t="s">
        <v>1925</v>
      </c>
      <c r="AM462" s="92" t="s">
        <v>1926</v>
      </c>
      <c r="AW462" s="103"/>
      <c r="BI462"/>
    </row>
    <row r="463" spans="38:61" ht="15" x14ac:dyDescent="0.25">
      <c r="AL463" s="93" t="s">
        <v>1927</v>
      </c>
      <c r="AM463" s="92" t="s">
        <v>1928</v>
      </c>
      <c r="AW463" s="103"/>
      <c r="BI463"/>
    </row>
    <row r="464" spans="38:61" ht="15" x14ac:dyDescent="0.25">
      <c r="AL464" s="93" t="s">
        <v>1929</v>
      </c>
      <c r="AM464" s="92" t="s">
        <v>1930</v>
      </c>
      <c r="AW464" s="103"/>
      <c r="BI464"/>
    </row>
    <row r="465" spans="38:61" ht="15" x14ac:dyDescent="0.25">
      <c r="AL465" s="93" t="s">
        <v>1931</v>
      </c>
      <c r="AM465" s="92" t="s">
        <v>1932</v>
      </c>
      <c r="AW465" s="103"/>
      <c r="BI465"/>
    </row>
    <row r="466" spans="38:61" ht="15" x14ac:dyDescent="0.25">
      <c r="AL466" s="93" t="s">
        <v>1933</v>
      </c>
      <c r="AM466" s="92" t="s">
        <v>1934</v>
      </c>
      <c r="AW466" s="103"/>
      <c r="BI466"/>
    </row>
    <row r="467" spans="38:61" ht="15" x14ac:dyDescent="0.25">
      <c r="AL467" s="93" t="s">
        <v>1935</v>
      </c>
      <c r="AM467" s="92" t="s">
        <v>1936</v>
      </c>
      <c r="AW467" s="103"/>
      <c r="BI467"/>
    </row>
    <row r="468" spans="38:61" ht="15" x14ac:dyDescent="0.25">
      <c r="AL468" s="93" t="s">
        <v>1937</v>
      </c>
      <c r="AM468" s="92" t="s">
        <v>1938</v>
      </c>
      <c r="AW468" s="103"/>
      <c r="BI468"/>
    </row>
    <row r="469" spans="38:61" ht="15" x14ac:dyDescent="0.25">
      <c r="AL469" s="93" t="s">
        <v>1939</v>
      </c>
      <c r="AM469" s="92" t="s">
        <v>1940</v>
      </c>
      <c r="AW469" s="103"/>
      <c r="BI469"/>
    </row>
    <row r="470" spans="38:61" ht="15" x14ac:dyDescent="0.25">
      <c r="AL470" s="93" t="s">
        <v>1941</v>
      </c>
      <c r="AM470" s="92" t="s">
        <v>1942</v>
      </c>
      <c r="AW470" s="103"/>
      <c r="BI470"/>
    </row>
    <row r="471" spans="38:61" ht="15" x14ac:dyDescent="0.25">
      <c r="AL471" s="93" t="s">
        <v>1943</v>
      </c>
      <c r="AM471" s="92" t="s">
        <v>1944</v>
      </c>
      <c r="AW471" s="103"/>
      <c r="BI471"/>
    </row>
    <row r="472" spans="38:61" ht="15" x14ac:dyDescent="0.25">
      <c r="AL472" s="93" t="s">
        <v>1945</v>
      </c>
      <c r="AM472" s="92" t="s">
        <v>1946</v>
      </c>
      <c r="AW472" s="103"/>
      <c r="BI472"/>
    </row>
    <row r="473" spans="38:61" ht="15" x14ac:dyDescent="0.25">
      <c r="AL473" s="93" t="s">
        <v>1947</v>
      </c>
      <c r="AM473" s="92" t="s">
        <v>1948</v>
      </c>
      <c r="AW473" s="103"/>
      <c r="BI473"/>
    </row>
    <row r="474" spans="38:61" ht="15" x14ac:dyDescent="0.25">
      <c r="AL474" s="93" t="s">
        <v>1949</v>
      </c>
      <c r="AM474" s="92" t="s">
        <v>1950</v>
      </c>
      <c r="AW474" s="103"/>
      <c r="BI474"/>
    </row>
    <row r="475" spans="38:61" ht="15" x14ac:dyDescent="0.25">
      <c r="AL475" s="93" t="s">
        <v>1951</v>
      </c>
      <c r="AM475" s="92" t="s">
        <v>1952</v>
      </c>
      <c r="AW475" s="103"/>
      <c r="BI475"/>
    </row>
    <row r="476" spans="38:61" ht="15" x14ac:dyDescent="0.25">
      <c r="AL476" s="93" t="s">
        <v>1953</v>
      </c>
      <c r="AM476" s="92" t="s">
        <v>1954</v>
      </c>
      <c r="AW476" s="103"/>
      <c r="BI476"/>
    </row>
    <row r="477" spans="38:61" ht="15" x14ac:dyDescent="0.25">
      <c r="AL477" s="93" t="s">
        <v>1955</v>
      </c>
      <c r="AM477" s="92" t="s">
        <v>1956</v>
      </c>
      <c r="AW477" s="103"/>
      <c r="BI477"/>
    </row>
    <row r="478" spans="38:61" ht="15" x14ac:dyDescent="0.25">
      <c r="AL478" s="93" t="s">
        <v>1957</v>
      </c>
      <c r="AM478" s="92" t="s">
        <v>1958</v>
      </c>
      <c r="AW478" s="103"/>
      <c r="BI478"/>
    </row>
    <row r="479" spans="38:61" ht="15" x14ac:dyDescent="0.25">
      <c r="AL479" s="93" t="s">
        <v>1959</v>
      </c>
      <c r="AM479" s="92" t="s">
        <v>1960</v>
      </c>
      <c r="AW479" s="103"/>
      <c r="BI479"/>
    </row>
    <row r="480" spans="38:61" ht="15" x14ac:dyDescent="0.25">
      <c r="AL480" s="93" t="s">
        <v>1961</v>
      </c>
      <c r="AM480" s="92" t="s">
        <v>1962</v>
      </c>
      <c r="AW480" s="103"/>
      <c r="BI480"/>
    </row>
    <row r="481" spans="38:61" ht="15" x14ac:dyDescent="0.25">
      <c r="AL481" s="93" t="s">
        <v>1963</v>
      </c>
      <c r="AM481" s="92" t="s">
        <v>1964</v>
      </c>
      <c r="AW481" s="103"/>
      <c r="BI481"/>
    </row>
    <row r="482" spans="38:61" ht="15" x14ac:dyDescent="0.25">
      <c r="AL482" s="93" t="s">
        <v>1965</v>
      </c>
      <c r="AM482" s="92" t="s">
        <v>1966</v>
      </c>
      <c r="AW482" s="103"/>
      <c r="BI482"/>
    </row>
    <row r="483" spans="38:61" ht="15" x14ac:dyDescent="0.25">
      <c r="AL483" s="93" t="s">
        <v>1967</v>
      </c>
      <c r="AM483" s="92" t="s">
        <v>1968</v>
      </c>
      <c r="AW483" s="103"/>
      <c r="BI483"/>
    </row>
    <row r="484" spans="38:61" ht="15" x14ac:dyDescent="0.25">
      <c r="AL484" s="93" t="s">
        <v>1969</v>
      </c>
      <c r="AM484" s="92" t="s">
        <v>1970</v>
      </c>
      <c r="AW484" s="103"/>
      <c r="BI484"/>
    </row>
    <row r="485" spans="38:61" ht="15" x14ac:dyDescent="0.25">
      <c r="AL485" s="93" t="s">
        <v>1971</v>
      </c>
      <c r="AM485" s="92" t="s">
        <v>1972</v>
      </c>
      <c r="AW485" s="103"/>
      <c r="BI485"/>
    </row>
    <row r="486" spans="38:61" ht="15" x14ac:dyDescent="0.25">
      <c r="AL486" s="93" t="s">
        <v>1973</v>
      </c>
      <c r="AM486" s="92" t="s">
        <v>1974</v>
      </c>
      <c r="AW486" s="103"/>
      <c r="BI486"/>
    </row>
    <row r="487" spans="38:61" ht="15" x14ac:dyDescent="0.25">
      <c r="AL487" s="93" t="s">
        <v>1975</v>
      </c>
      <c r="AM487" s="92" t="s">
        <v>1976</v>
      </c>
      <c r="AW487" s="103"/>
      <c r="BI487"/>
    </row>
    <row r="488" spans="38:61" ht="15" x14ac:dyDescent="0.25">
      <c r="AL488" s="93" t="s">
        <v>1977</v>
      </c>
      <c r="AM488" s="92" t="s">
        <v>1978</v>
      </c>
      <c r="AW488" s="103"/>
      <c r="BI488"/>
    </row>
    <row r="489" spans="38:61" ht="15" x14ac:dyDescent="0.25">
      <c r="AL489" s="93" t="s">
        <v>1979</v>
      </c>
      <c r="AM489" s="92" t="s">
        <v>1980</v>
      </c>
      <c r="AW489" s="103"/>
      <c r="BI489"/>
    </row>
    <row r="490" spans="38:61" ht="15" x14ac:dyDescent="0.25">
      <c r="AL490" s="93" t="s">
        <v>1981</v>
      </c>
      <c r="AM490" s="92" t="s">
        <v>1982</v>
      </c>
      <c r="AW490" s="103"/>
      <c r="BI490"/>
    </row>
    <row r="491" spans="38:61" ht="15" x14ac:dyDescent="0.25">
      <c r="AL491" s="93" t="s">
        <v>1983</v>
      </c>
      <c r="AM491" s="92" t="s">
        <v>1984</v>
      </c>
      <c r="AW491" s="103"/>
      <c r="BI491"/>
    </row>
    <row r="492" spans="38:61" ht="15" x14ac:dyDescent="0.25">
      <c r="AL492" s="93" t="s">
        <v>1985</v>
      </c>
      <c r="AM492" s="92" t="s">
        <v>1986</v>
      </c>
      <c r="AW492" s="103"/>
      <c r="BI492"/>
    </row>
    <row r="493" spans="38:61" ht="15" x14ac:dyDescent="0.25">
      <c r="AL493" s="93" t="s">
        <v>1987</v>
      </c>
      <c r="AM493" s="92" t="s">
        <v>1988</v>
      </c>
      <c r="AW493" s="103"/>
      <c r="BI493"/>
    </row>
    <row r="494" spans="38:61" ht="15" x14ac:dyDescent="0.25">
      <c r="AL494" s="93" t="s">
        <v>1989</v>
      </c>
      <c r="AM494" s="92" t="s">
        <v>1990</v>
      </c>
      <c r="AW494" s="103"/>
      <c r="BI494"/>
    </row>
    <row r="495" spans="38:61" ht="15" x14ac:dyDescent="0.25">
      <c r="AL495" s="93" t="s">
        <v>1991</v>
      </c>
      <c r="AM495" s="92" t="s">
        <v>1992</v>
      </c>
      <c r="AW495" s="103"/>
      <c r="BI495"/>
    </row>
    <row r="496" spans="38:61" ht="15" x14ac:dyDescent="0.25">
      <c r="AL496" s="93" t="s">
        <v>1993</v>
      </c>
      <c r="AM496" s="92" t="s">
        <v>1994</v>
      </c>
      <c r="AW496" s="103"/>
      <c r="BI496"/>
    </row>
    <row r="497" spans="38:61" ht="15" x14ac:dyDescent="0.25">
      <c r="AL497" s="93" t="s">
        <v>1995</v>
      </c>
      <c r="AM497" s="92" t="s">
        <v>1996</v>
      </c>
      <c r="AW497" s="103"/>
      <c r="BI497"/>
    </row>
    <row r="498" spans="38:61" ht="15" x14ac:dyDescent="0.25">
      <c r="AL498" s="93" t="s">
        <v>1997</v>
      </c>
      <c r="AM498" s="92" t="s">
        <v>1998</v>
      </c>
      <c r="AW498" s="103"/>
      <c r="BI498"/>
    </row>
    <row r="499" spans="38:61" ht="15" x14ac:dyDescent="0.25">
      <c r="AL499" s="93" t="s">
        <v>1999</v>
      </c>
      <c r="AM499" s="92" t="s">
        <v>2000</v>
      </c>
      <c r="AW499" s="103"/>
      <c r="BI499"/>
    </row>
    <row r="500" spans="38:61" ht="15" x14ac:dyDescent="0.25">
      <c r="AL500" s="93" t="s">
        <v>2001</v>
      </c>
      <c r="AM500" s="92" t="s">
        <v>2002</v>
      </c>
      <c r="AW500" s="103"/>
      <c r="BI500"/>
    </row>
    <row r="501" spans="38:61" ht="15" x14ac:dyDescent="0.25">
      <c r="AL501" s="93" t="s">
        <v>2003</v>
      </c>
      <c r="AM501" s="92" t="s">
        <v>2004</v>
      </c>
      <c r="AW501" s="103"/>
      <c r="BI501"/>
    </row>
    <row r="502" spans="38:61" ht="15" x14ac:dyDescent="0.25">
      <c r="AL502" s="93" t="s">
        <v>2005</v>
      </c>
      <c r="AM502" s="92" t="s">
        <v>2006</v>
      </c>
      <c r="AW502" s="103"/>
      <c r="BI502"/>
    </row>
    <row r="503" spans="38:61" ht="15" x14ac:dyDescent="0.25">
      <c r="AL503" s="93" t="s">
        <v>2007</v>
      </c>
      <c r="AM503" s="92" t="s">
        <v>2008</v>
      </c>
      <c r="AW503" s="103"/>
      <c r="BI503"/>
    </row>
    <row r="504" spans="38:61" ht="15" x14ac:dyDescent="0.25">
      <c r="AL504" s="93" t="s">
        <v>2009</v>
      </c>
      <c r="AM504" s="92" t="s">
        <v>2010</v>
      </c>
      <c r="AW504" s="103"/>
      <c r="BI504"/>
    </row>
    <row r="505" spans="38:61" ht="15" x14ac:dyDescent="0.25">
      <c r="AL505" s="93" t="s">
        <v>2011</v>
      </c>
      <c r="AM505" s="92" t="s">
        <v>2012</v>
      </c>
      <c r="AW505" s="103"/>
      <c r="BI505"/>
    </row>
    <row r="506" spans="38:61" ht="15" x14ac:dyDescent="0.25">
      <c r="AL506" s="93" t="s">
        <v>2013</v>
      </c>
      <c r="AM506" s="92" t="s">
        <v>2014</v>
      </c>
      <c r="AW506" s="103"/>
      <c r="BI506"/>
    </row>
    <row r="507" spans="38:61" ht="15" x14ac:dyDescent="0.25">
      <c r="AL507" s="93" t="s">
        <v>2015</v>
      </c>
      <c r="AM507" s="92" t="s">
        <v>2016</v>
      </c>
      <c r="AW507" s="103"/>
      <c r="BI507"/>
    </row>
    <row r="508" spans="38:61" ht="15" x14ac:dyDescent="0.25">
      <c r="AL508" s="93" t="s">
        <v>2017</v>
      </c>
      <c r="AM508" s="92" t="s">
        <v>2018</v>
      </c>
      <c r="AW508" s="103"/>
      <c r="BI508"/>
    </row>
    <row r="509" spans="38:61" ht="15" x14ac:dyDescent="0.25">
      <c r="AL509" s="93" t="s">
        <v>2019</v>
      </c>
      <c r="AM509" s="92" t="s">
        <v>2020</v>
      </c>
      <c r="AW509" s="103"/>
      <c r="BI509"/>
    </row>
    <row r="510" spans="38:61" ht="15" x14ac:dyDescent="0.25">
      <c r="AL510" s="93" t="s">
        <v>2021</v>
      </c>
      <c r="AM510" s="92" t="s">
        <v>2022</v>
      </c>
      <c r="AW510" s="103"/>
      <c r="BI510"/>
    </row>
    <row r="511" spans="38:61" ht="15" x14ac:dyDescent="0.25">
      <c r="AL511" s="93" t="s">
        <v>2023</v>
      </c>
      <c r="AM511" s="92" t="s">
        <v>2024</v>
      </c>
      <c r="AW511" s="103"/>
      <c r="BI511"/>
    </row>
    <row r="512" spans="38:61" ht="15" x14ac:dyDescent="0.25">
      <c r="AL512" s="93" t="s">
        <v>2025</v>
      </c>
      <c r="AM512" s="92" t="s">
        <v>2026</v>
      </c>
      <c r="AW512" s="103"/>
      <c r="BI512"/>
    </row>
    <row r="513" spans="38:61" ht="15" x14ac:dyDescent="0.25">
      <c r="AL513" s="93" t="s">
        <v>2027</v>
      </c>
      <c r="AM513" s="92" t="s">
        <v>2028</v>
      </c>
      <c r="AW513" s="103"/>
      <c r="BI513"/>
    </row>
    <row r="514" spans="38:61" ht="15" x14ac:dyDescent="0.25">
      <c r="AL514" s="93" t="s">
        <v>2029</v>
      </c>
      <c r="AM514" s="92" t="s">
        <v>2030</v>
      </c>
      <c r="AW514" s="103"/>
      <c r="BI514"/>
    </row>
    <row r="515" spans="38:61" ht="15" x14ac:dyDescent="0.25">
      <c r="AL515" s="93" t="s">
        <v>2031</v>
      </c>
      <c r="AM515" s="92" t="s">
        <v>2032</v>
      </c>
      <c r="AW515" s="103"/>
      <c r="BI515"/>
    </row>
    <row r="516" spans="38:61" ht="15" x14ac:dyDescent="0.25">
      <c r="AL516" s="93" t="s">
        <v>2033</v>
      </c>
      <c r="AM516" s="92" t="s">
        <v>2034</v>
      </c>
      <c r="AW516" s="103"/>
      <c r="BI516"/>
    </row>
    <row r="517" spans="38:61" ht="15" x14ac:dyDescent="0.25">
      <c r="AL517" s="93" t="s">
        <v>2035</v>
      </c>
      <c r="AM517" s="92" t="s">
        <v>2036</v>
      </c>
      <c r="AW517" s="103"/>
      <c r="BI517"/>
    </row>
    <row r="518" spans="38:61" ht="15" x14ac:dyDescent="0.25">
      <c r="AL518" s="93" t="s">
        <v>2037</v>
      </c>
      <c r="AM518" s="92" t="s">
        <v>2038</v>
      </c>
      <c r="AW518" s="103"/>
      <c r="BI518"/>
    </row>
    <row r="519" spans="38:61" ht="15" x14ac:dyDescent="0.25">
      <c r="AL519" s="93" t="s">
        <v>2039</v>
      </c>
      <c r="AM519" s="92" t="s">
        <v>2040</v>
      </c>
      <c r="AW519" s="103"/>
      <c r="BI519"/>
    </row>
    <row r="520" spans="38:61" ht="15" x14ac:dyDescent="0.25">
      <c r="AL520" s="93" t="s">
        <v>2041</v>
      </c>
      <c r="AM520" s="92" t="s">
        <v>2042</v>
      </c>
      <c r="AW520" s="103"/>
      <c r="BI520"/>
    </row>
    <row r="521" spans="38:61" ht="15" x14ac:dyDescent="0.25">
      <c r="AL521" s="93" t="s">
        <v>2043</v>
      </c>
      <c r="AM521" s="92" t="s">
        <v>2044</v>
      </c>
      <c r="AW521" s="103"/>
      <c r="BI521"/>
    </row>
    <row r="522" spans="38:61" ht="15" x14ac:dyDescent="0.25">
      <c r="AL522" s="93" t="s">
        <v>2045</v>
      </c>
      <c r="AM522" s="92" t="s">
        <v>2046</v>
      </c>
      <c r="AW522" s="103"/>
      <c r="BI522"/>
    </row>
    <row r="523" spans="38:61" ht="15" x14ac:dyDescent="0.25">
      <c r="AL523" s="93" t="s">
        <v>2047</v>
      </c>
      <c r="AM523" s="92" t="s">
        <v>2048</v>
      </c>
      <c r="AW523" s="103"/>
      <c r="BI523"/>
    </row>
    <row r="524" spans="38:61" ht="15" x14ac:dyDescent="0.25">
      <c r="AL524" s="93" t="s">
        <v>2049</v>
      </c>
      <c r="AM524" s="92" t="s">
        <v>2050</v>
      </c>
      <c r="AW524" s="103"/>
      <c r="BI524"/>
    </row>
    <row r="525" spans="38:61" ht="15" x14ac:dyDescent="0.25">
      <c r="AL525" s="93" t="s">
        <v>2051</v>
      </c>
      <c r="AM525" s="92" t="s">
        <v>2052</v>
      </c>
      <c r="AW525" s="103"/>
      <c r="BI525"/>
    </row>
    <row r="526" spans="38:61" ht="15" x14ac:dyDescent="0.25">
      <c r="AL526" s="93" t="s">
        <v>2053</v>
      </c>
      <c r="AM526" s="92" t="s">
        <v>2054</v>
      </c>
      <c r="AW526" s="103"/>
      <c r="BI526"/>
    </row>
    <row r="527" spans="38:61" ht="15" x14ac:dyDescent="0.25">
      <c r="AL527" s="93" t="s">
        <v>2055</v>
      </c>
      <c r="AM527" s="92" t="s">
        <v>2056</v>
      </c>
      <c r="AW527" s="103"/>
      <c r="BI527"/>
    </row>
    <row r="528" spans="38:61" ht="15" x14ac:dyDescent="0.25">
      <c r="AL528" s="93" t="s">
        <v>2057</v>
      </c>
      <c r="AM528" s="92" t="s">
        <v>2058</v>
      </c>
      <c r="AW528" s="103"/>
      <c r="BI528"/>
    </row>
    <row r="529" spans="38:61" ht="15" x14ac:dyDescent="0.25">
      <c r="AL529" s="93" t="s">
        <v>2059</v>
      </c>
      <c r="AM529" s="92" t="s">
        <v>2060</v>
      </c>
      <c r="AW529" s="103"/>
      <c r="BI529"/>
    </row>
    <row r="530" spans="38:61" ht="15" x14ac:dyDescent="0.25">
      <c r="AL530" s="93" t="s">
        <v>2061</v>
      </c>
      <c r="AM530" s="92" t="s">
        <v>2062</v>
      </c>
      <c r="AW530" s="103"/>
      <c r="BI530"/>
    </row>
    <row r="531" spans="38:61" ht="15" x14ac:dyDescent="0.25">
      <c r="AL531" s="93" t="s">
        <v>2063</v>
      </c>
      <c r="AM531" s="92" t="s">
        <v>2064</v>
      </c>
      <c r="AW531" s="103"/>
      <c r="BI531"/>
    </row>
    <row r="532" spans="38:61" ht="15" x14ac:dyDescent="0.25">
      <c r="AL532" s="93" t="s">
        <v>2065</v>
      </c>
      <c r="AM532" s="92" t="s">
        <v>2066</v>
      </c>
      <c r="AW532" s="103"/>
      <c r="BI532"/>
    </row>
    <row r="533" spans="38:61" ht="15" x14ac:dyDescent="0.25">
      <c r="AL533" s="93" t="s">
        <v>2067</v>
      </c>
      <c r="AM533" s="92" t="s">
        <v>2068</v>
      </c>
      <c r="AW533" s="103"/>
      <c r="BI533"/>
    </row>
    <row r="534" spans="38:61" ht="15" x14ac:dyDescent="0.25">
      <c r="AL534" s="93" t="s">
        <v>2069</v>
      </c>
      <c r="AM534" s="92" t="s">
        <v>2070</v>
      </c>
      <c r="AW534" s="103"/>
      <c r="BI534"/>
    </row>
    <row r="535" spans="38:61" ht="15" x14ac:dyDescent="0.25">
      <c r="AL535" s="93" t="s">
        <v>2071</v>
      </c>
      <c r="AM535" s="92" t="s">
        <v>2072</v>
      </c>
      <c r="AW535" s="103"/>
      <c r="BI535"/>
    </row>
    <row r="536" spans="38:61" ht="15" x14ac:dyDescent="0.25">
      <c r="AL536" s="93" t="s">
        <v>2073</v>
      </c>
      <c r="AM536" s="92" t="s">
        <v>2074</v>
      </c>
      <c r="AW536" s="103"/>
      <c r="BI536"/>
    </row>
    <row r="537" spans="38:61" ht="15" x14ac:dyDescent="0.25">
      <c r="AL537" s="93" t="s">
        <v>2075</v>
      </c>
      <c r="AM537" s="92" t="s">
        <v>2076</v>
      </c>
      <c r="AW537" s="103"/>
      <c r="BI537"/>
    </row>
    <row r="538" spans="38:61" ht="15" x14ac:dyDescent="0.25">
      <c r="AL538" s="93" t="s">
        <v>2077</v>
      </c>
      <c r="AM538" s="92" t="s">
        <v>2078</v>
      </c>
      <c r="AW538" s="103"/>
      <c r="BI538"/>
    </row>
    <row r="539" spans="38:61" ht="15" x14ac:dyDescent="0.25">
      <c r="AL539" s="93" t="s">
        <v>2079</v>
      </c>
      <c r="AM539" s="92" t="s">
        <v>2080</v>
      </c>
      <c r="AW539" s="103"/>
      <c r="BI539"/>
    </row>
    <row r="540" spans="38:61" ht="15" x14ac:dyDescent="0.25">
      <c r="AL540" s="93" t="s">
        <v>2081</v>
      </c>
      <c r="AM540" s="92" t="s">
        <v>2082</v>
      </c>
      <c r="AW540" s="103"/>
      <c r="BI540"/>
    </row>
    <row r="541" spans="38:61" ht="15" x14ac:dyDescent="0.25">
      <c r="AL541" s="93" t="s">
        <v>2083</v>
      </c>
      <c r="AM541" s="92" t="s">
        <v>2084</v>
      </c>
      <c r="AW541" s="103"/>
      <c r="BI541"/>
    </row>
    <row r="542" spans="38:61" ht="15" x14ac:dyDescent="0.25">
      <c r="AL542" s="93" t="s">
        <v>2085</v>
      </c>
      <c r="AM542" s="92" t="s">
        <v>2086</v>
      </c>
      <c r="AW542" s="103"/>
      <c r="BI542"/>
    </row>
    <row r="543" spans="38:61" ht="15" x14ac:dyDescent="0.25">
      <c r="AL543" s="93" t="s">
        <v>2087</v>
      </c>
      <c r="AM543" s="92" t="s">
        <v>2088</v>
      </c>
      <c r="AW543" s="103"/>
      <c r="BI543"/>
    </row>
    <row r="544" spans="38:61" ht="15" x14ac:dyDescent="0.25">
      <c r="AL544" s="93" t="s">
        <v>2089</v>
      </c>
      <c r="AM544" s="92" t="s">
        <v>2090</v>
      </c>
      <c r="AW544" s="103"/>
      <c r="BI544"/>
    </row>
    <row r="545" spans="38:61" ht="15" x14ac:dyDescent="0.25">
      <c r="AL545" s="93" t="s">
        <v>2091</v>
      </c>
      <c r="AM545" s="92" t="s">
        <v>2092</v>
      </c>
      <c r="AW545" s="103"/>
      <c r="BI545"/>
    </row>
    <row r="546" spans="38:61" ht="15" x14ac:dyDescent="0.25">
      <c r="AL546" s="93" t="s">
        <v>2093</v>
      </c>
      <c r="AM546" s="92" t="s">
        <v>2094</v>
      </c>
      <c r="AW546" s="103"/>
      <c r="BI546"/>
    </row>
    <row r="547" spans="38:61" ht="15" x14ac:dyDescent="0.25">
      <c r="AL547" s="93" t="s">
        <v>2095</v>
      </c>
      <c r="AM547" s="92" t="s">
        <v>2096</v>
      </c>
      <c r="AW547" s="103"/>
      <c r="BI547"/>
    </row>
    <row r="548" spans="38:61" ht="15" x14ac:dyDescent="0.25">
      <c r="AL548" s="93" t="s">
        <v>2097</v>
      </c>
      <c r="AM548" s="92" t="s">
        <v>2098</v>
      </c>
      <c r="AW548" s="103"/>
      <c r="BI548"/>
    </row>
    <row r="549" spans="38:61" ht="15" x14ac:dyDescent="0.25">
      <c r="AL549" s="93" t="s">
        <v>2099</v>
      </c>
      <c r="AM549" s="92" t="s">
        <v>2100</v>
      </c>
      <c r="AW549" s="103"/>
      <c r="BI549"/>
    </row>
    <row r="550" spans="38:61" ht="15" x14ac:dyDescent="0.25">
      <c r="AL550" s="93" t="s">
        <v>2101</v>
      </c>
      <c r="AM550" s="92" t="s">
        <v>2102</v>
      </c>
      <c r="AW550" s="103"/>
      <c r="BI550"/>
    </row>
    <row r="551" spans="38:61" ht="15" x14ac:dyDescent="0.25">
      <c r="AL551" s="93" t="s">
        <v>2103</v>
      </c>
      <c r="AM551" s="92" t="s">
        <v>2104</v>
      </c>
      <c r="AW551" s="103"/>
      <c r="BI551"/>
    </row>
    <row r="552" spans="38:61" ht="15" x14ac:dyDescent="0.25">
      <c r="AL552" s="93" t="s">
        <v>2105</v>
      </c>
      <c r="AM552" s="92" t="s">
        <v>2106</v>
      </c>
      <c r="AW552" s="103"/>
      <c r="BI552"/>
    </row>
    <row r="553" spans="38:61" ht="15" x14ac:dyDescent="0.25">
      <c r="AL553" s="93" t="s">
        <v>2107</v>
      </c>
      <c r="AM553" s="92" t="s">
        <v>2108</v>
      </c>
      <c r="AW553" s="103"/>
      <c r="BI553"/>
    </row>
    <row r="554" spans="38:61" ht="15" x14ac:dyDescent="0.25">
      <c r="AL554" s="93" t="s">
        <v>2109</v>
      </c>
      <c r="AM554" s="92" t="s">
        <v>2110</v>
      </c>
      <c r="AW554" s="103"/>
      <c r="BI554"/>
    </row>
    <row r="555" spans="38:61" ht="15" x14ac:dyDescent="0.25">
      <c r="AL555" s="93" t="s">
        <v>2111</v>
      </c>
      <c r="AM555" s="92" t="s">
        <v>2112</v>
      </c>
      <c r="AW555" s="103"/>
      <c r="BI555"/>
    </row>
    <row r="556" spans="38:61" ht="15" x14ac:dyDescent="0.25">
      <c r="AL556" s="93" t="s">
        <v>2113</v>
      </c>
      <c r="AM556" s="92" t="s">
        <v>2114</v>
      </c>
      <c r="AW556" s="103"/>
      <c r="BI556"/>
    </row>
    <row r="557" spans="38:61" ht="15" x14ac:dyDescent="0.25">
      <c r="AL557" s="93" t="s">
        <v>2115</v>
      </c>
      <c r="AM557" s="92" t="s">
        <v>2116</v>
      </c>
      <c r="AW557" s="103"/>
      <c r="BI557"/>
    </row>
    <row r="558" spans="38:61" ht="15" x14ac:dyDescent="0.25">
      <c r="AL558" s="93" t="s">
        <v>2117</v>
      </c>
      <c r="AM558" s="92" t="s">
        <v>2118</v>
      </c>
      <c r="AW558" s="103"/>
      <c r="BI558"/>
    </row>
    <row r="559" spans="38:61" ht="15" x14ac:dyDescent="0.25">
      <c r="AL559" s="93" t="s">
        <v>2119</v>
      </c>
      <c r="AM559" s="92" t="s">
        <v>2120</v>
      </c>
      <c r="AW559" s="103"/>
      <c r="BI559"/>
    </row>
    <row r="560" spans="38:61" ht="15" x14ac:dyDescent="0.25">
      <c r="AL560" s="93" t="s">
        <v>2121</v>
      </c>
      <c r="AM560" s="92" t="s">
        <v>2122</v>
      </c>
      <c r="AW560" s="103"/>
      <c r="BI560"/>
    </row>
    <row r="561" spans="38:61" ht="15" x14ac:dyDescent="0.25">
      <c r="AL561" s="93" t="s">
        <v>2123</v>
      </c>
      <c r="AM561" s="92" t="s">
        <v>2124</v>
      </c>
      <c r="AW561" s="103"/>
      <c r="BI561"/>
    </row>
    <row r="562" spans="38:61" ht="15" x14ac:dyDescent="0.25">
      <c r="AL562" s="93" t="s">
        <v>2125</v>
      </c>
      <c r="AM562" s="92" t="s">
        <v>2126</v>
      </c>
      <c r="AW562" s="103"/>
      <c r="BI562"/>
    </row>
    <row r="563" spans="38:61" ht="15" x14ac:dyDescent="0.25">
      <c r="AL563" s="93" t="s">
        <v>2127</v>
      </c>
      <c r="AM563" s="92" t="s">
        <v>2128</v>
      </c>
      <c r="AW563" s="103"/>
      <c r="BI563"/>
    </row>
    <row r="564" spans="38:61" ht="15" x14ac:dyDescent="0.25">
      <c r="AL564" s="93" t="s">
        <v>2129</v>
      </c>
      <c r="AM564" s="92" t="s">
        <v>2130</v>
      </c>
      <c r="AW564" s="103"/>
      <c r="BI564"/>
    </row>
    <row r="565" spans="38:61" ht="15" x14ac:dyDescent="0.25">
      <c r="AL565" s="93" t="s">
        <v>2131</v>
      </c>
      <c r="AM565" s="92" t="s">
        <v>2132</v>
      </c>
      <c r="AW565" s="103"/>
      <c r="BI565"/>
    </row>
    <row r="566" spans="38:61" ht="15" x14ac:dyDescent="0.25">
      <c r="AL566" s="93" t="s">
        <v>2133</v>
      </c>
      <c r="AM566" s="92" t="s">
        <v>2134</v>
      </c>
      <c r="AW566" s="103"/>
      <c r="BI566"/>
    </row>
    <row r="567" spans="38:61" ht="15" x14ac:dyDescent="0.25">
      <c r="AL567" s="93" t="s">
        <v>2135</v>
      </c>
      <c r="AM567" s="92" t="s">
        <v>2136</v>
      </c>
      <c r="AW567" s="103"/>
      <c r="BI567"/>
    </row>
    <row r="568" spans="38:61" ht="15" x14ac:dyDescent="0.25">
      <c r="AL568" s="93" t="s">
        <v>2137</v>
      </c>
      <c r="AM568" s="92" t="s">
        <v>2138</v>
      </c>
      <c r="AW568" s="103"/>
      <c r="BI568"/>
    </row>
    <row r="569" spans="38:61" ht="15" x14ac:dyDescent="0.25">
      <c r="AL569" s="93" t="s">
        <v>2139</v>
      </c>
      <c r="AM569" s="92" t="s">
        <v>2140</v>
      </c>
      <c r="AW569" s="103"/>
      <c r="BI569"/>
    </row>
    <row r="570" spans="38:61" ht="15" x14ac:dyDescent="0.25">
      <c r="AL570" s="93" t="s">
        <v>2141</v>
      </c>
      <c r="AM570" s="92" t="s">
        <v>2142</v>
      </c>
      <c r="AW570" s="103"/>
      <c r="BI570"/>
    </row>
    <row r="571" spans="38:61" ht="15" x14ac:dyDescent="0.25">
      <c r="AL571" s="93" t="s">
        <v>2143</v>
      </c>
      <c r="AM571" s="92" t="s">
        <v>2144</v>
      </c>
      <c r="AW571" s="103"/>
      <c r="BI571"/>
    </row>
    <row r="572" spans="38:61" ht="15" x14ac:dyDescent="0.25">
      <c r="AL572" s="93" t="s">
        <v>2145</v>
      </c>
      <c r="AM572" s="92" t="s">
        <v>2146</v>
      </c>
      <c r="AW572" s="103"/>
      <c r="BI572"/>
    </row>
    <row r="573" spans="38:61" ht="15" x14ac:dyDescent="0.25">
      <c r="AL573" s="93" t="s">
        <v>2147</v>
      </c>
      <c r="AM573" s="92" t="s">
        <v>2148</v>
      </c>
      <c r="AW573" s="103"/>
      <c r="BI573"/>
    </row>
    <row r="574" spans="38:61" ht="15" x14ac:dyDescent="0.25">
      <c r="AL574" s="93" t="s">
        <v>2149</v>
      </c>
      <c r="AM574" s="92" t="s">
        <v>2150</v>
      </c>
      <c r="AW574" s="103"/>
      <c r="BI574"/>
    </row>
    <row r="575" spans="38:61" ht="15" x14ac:dyDescent="0.25">
      <c r="AL575" s="93" t="s">
        <v>2151</v>
      </c>
      <c r="AM575" s="92" t="s">
        <v>2152</v>
      </c>
      <c r="AW575" s="103"/>
      <c r="BI575"/>
    </row>
    <row r="576" spans="38:61" ht="15" x14ac:dyDescent="0.25">
      <c r="AL576" s="93" t="s">
        <v>2153</v>
      </c>
      <c r="AM576" s="92" t="s">
        <v>2154</v>
      </c>
      <c r="AW576" s="103"/>
      <c r="BI576"/>
    </row>
    <row r="577" spans="38:61" ht="15" x14ac:dyDescent="0.25">
      <c r="AL577" s="93" t="s">
        <v>2155</v>
      </c>
      <c r="AM577" s="92" t="s">
        <v>2156</v>
      </c>
      <c r="AW577" s="103"/>
      <c r="BI577"/>
    </row>
    <row r="578" spans="38:61" ht="15" x14ac:dyDescent="0.25">
      <c r="AL578" s="93" t="s">
        <v>2157</v>
      </c>
      <c r="AM578" s="92" t="s">
        <v>2158</v>
      </c>
      <c r="AW578" s="103"/>
      <c r="BI578"/>
    </row>
    <row r="579" spans="38:61" ht="15" x14ac:dyDescent="0.25">
      <c r="AL579" s="93" t="s">
        <v>2159</v>
      </c>
      <c r="AM579" s="92" t="s">
        <v>2160</v>
      </c>
      <c r="AW579" s="103"/>
      <c r="BI579"/>
    </row>
    <row r="580" spans="38:61" ht="15" x14ac:dyDescent="0.25">
      <c r="AL580" s="93" t="s">
        <v>2161</v>
      </c>
      <c r="AM580" s="92" t="s">
        <v>2162</v>
      </c>
      <c r="AW580" s="103"/>
      <c r="BI580"/>
    </row>
    <row r="581" spans="38:61" ht="15" x14ac:dyDescent="0.25">
      <c r="AL581" s="93" t="s">
        <v>2163</v>
      </c>
      <c r="AM581" s="92" t="s">
        <v>2164</v>
      </c>
      <c r="AW581" s="103"/>
      <c r="BI581"/>
    </row>
    <row r="582" spans="38:61" ht="15" x14ac:dyDescent="0.25">
      <c r="AL582" s="93" t="s">
        <v>2165</v>
      </c>
      <c r="AM582" s="92" t="s">
        <v>2166</v>
      </c>
      <c r="AW582" s="103"/>
      <c r="BI582"/>
    </row>
    <row r="583" spans="38:61" ht="15" x14ac:dyDescent="0.25">
      <c r="AL583" s="93" t="s">
        <v>2167</v>
      </c>
      <c r="AM583" s="92" t="s">
        <v>2168</v>
      </c>
      <c r="AW583" s="103"/>
      <c r="BI583"/>
    </row>
    <row r="584" spans="38:61" ht="15" x14ac:dyDescent="0.25">
      <c r="AL584" s="93" t="s">
        <v>2169</v>
      </c>
      <c r="AM584" s="92" t="s">
        <v>2170</v>
      </c>
      <c r="AW584" s="103"/>
      <c r="BI584"/>
    </row>
    <row r="585" spans="38:61" ht="15" x14ac:dyDescent="0.25">
      <c r="AL585" s="93" t="s">
        <v>2171</v>
      </c>
      <c r="AM585" s="92" t="s">
        <v>2172</v>
      </c>
      <c r="AW585" s="103"/>
      <c r="BI585"/>
    </row>
    <row r="586" spans="38:61" ht="15" x14ac:dyDescent="0.25">
      <c r="AL586" s="93" t="s">
        <v>2173</v>
      </c>
      <c r="AM586" s="92" t="s">
        <v>2174</v>
      </c>
      <c r="AW586" s="103"/>
      <c r="BI586"/>
    </row>
    <row r="587" spans="38:61" ht="15" x14ac:dyDescent="0.25">
      <c r="AL587" s="93" t="s">
        <v>2175</v>
      </c>
      <c r="AM587" s="92" t="s">
        <v>2176</v>
      </c>
      <c r="AW587" s="103"/>
      <c r="BI587"/>
    </row>
    <row r="588" spans="38:61" ht="15" x14ac:dyDescent="0.25">
      <c r="AL588" s="93" t="s">
        <v>2177</v>
      </c>
      <c r="AM588" s="92" t="s">
        <v>2178</v>
      </c>
      <c r="AW588" s="103"/>
      <c r="BI588"/>
    </row>
    <row r="589" spans="38:61" ht="15" x14ac:dyDescent="0.25">
      <c r="AL589" s="93" t="s">
        <v>2179</v>
      </c>
      <c r="AM589" s="92" t="s">
        <v>2180</v>
      </c>
      <c r="AW589" s="103"/>
      <c r="BI589"/>
    </row>
    <row r="590" spans="38:61" ht="15" x14ac:dyDescent="0.25">
      <c r="AL590" s="93" t="s">
        <v>2181</v>
      </c>
      <c r="AM590" s="92" t="s">
        <v>2182</v>
      </c>
      <c r="AW590" s="103"/>
      <c r="BI590"/>
    </row>
    <row r="591" spans="38:61" ht="15" x14ac:dyDescent="0.25">
      <c r="AL591" s="93" t="s">
        <v>2183</v>
      </c>
      <c r="AM591" s="92" t="s">
        <v>2184</v>
      </c>
      <c r="AW591" s="103"/>
      <c r="BI591"/>
    </row>
    <row r="592" spans="38:61" ht="15" x14ac:dyDescent="0.25">
      <c r="AL592" s="93" t="s">
        <v>2185</v>
      </c>
      <c r="AM592" s="92" t="s">
        <v>2186</v>
      </c>
      <c r="AW592" s="103"/>
      <c r="BI592"/>
    </row>
    <row r="593" spans="38:61" ht="15" x14ac:dyDescent="0.25">
      <c r="AL593" s="93" t="s">
        <v>2187</v>
      </c>
      <c r="AM593" s="92" t="s">
        <v>2188</v>
      </c>
      <c r="AW593" s="103"/>
      <c r="BI593"/>
    </row>
    <row r="594" spans="38:61" ht="15" x14ac:dyDescent="0.25">
      <c r="AL594" s="93" t="s">
        <v>2189</v>
      </c>
      <c r="AM594" s="92" t="s">
        <v>2190</v>
      </c>
      <c r="AW594" s="103"/>
      <c r="BI594"/>
    </row>
    <row r="595" spans="38:61" ht="15" x14ac:dyDescent="0.25">
      <c r="AL595" s="93" t="s">
        <v>2191</v>
      </c>
      <c r="AM595" s="92" t="s">
        <v>2192</v>
      </c>
      <c r="AW595" s="103"/>
      <c r="BI595"/>
    </row>
    <row r="596" spans="38:61" ht="15" x14ac:dyDescent="0.25">
      <c r="AL596" s="93" t="s">
        <v>2193</v>
      </c>
      <c r="AM596" s="92" t="s">
        <v>2194</v>
      </c>
      <c r="AW596" s="103"/>
      <c r="BI596"/>
    </row>
    <row r="597" spans="38:61" ht="15" x14ac:dyDescent="0.25">
      <c r="AL597" s="93" t="s">
        <v>2195</v>
      </c>
      <c r="AM597" s="92" t="s">
        <v>2196</v>
      </c>
      <c r="AW597" s="103"/>
      <c r="BI597"/>
    </row>
    <row r="598" spans="38:61" ht="15" x14ac:dyDescent="0.25">
      <c r="AL598" s="93" t="s">
        <v>2197</v>
      </c>
      <c r="AM598" s="92" t="s">
        <v>2198</v>
      </c>
      <c r="AW598" s="103"/>
      <c r="BI598"/>
    </row>
    <row r="599" spans="38:61" ht="15" x14ac:dyDescent="0.25">
      <c r="AL599" s="93" t="s">
        <v>2199</v>
      </c>
      <c r="AM599" s="92" t="s">
        <v>2200</v>
      </c>
      <c r="AW599" s="103"/>
      <c r="BI599"/>
    </row>
    <row r="600" spans="38:61" ht="15" x14ac:dyDescent="0.25">
      <c r="AL600" s="93" t="s">
        <v>2201</v>
      </c>
      <c r="AM600" s="92" t="s">
        <v>2202</v>
      </c>
      <c r="AW600" s="103"/>
      <c r="BI600"/>
    </row>
    <row r="601" spans="38:61" ht="15" x14ac:dyDescent="0.25">
      <c r="AL601" s="93" t="s">
        <v>2203</v>
      </c>
      <c r="AM601" s="92" t="s">
        <v>2204</v>
      </c>
      <c r="AW601" s="103"/>
      <c r="BI601"/>
    </row>
    <row r="602" spans="38:61" ht="15" x14ac:dyDescent="0.25">
      <c r="AL602" s="93" t="s">
        <v>2205</v>
      </c>
      <c r="AM602" s="92" t="s">
        <v>2206</v>
      </c>
      <c r="AW602" s="103"/>
      <c r="BI602"/>
    </row>
    <row r="603" spans="38:61" ht="15" x14ac:dyDescent="0.25">
      <c r="AL603" s="93" t="s">
        <v>2207</v>
      </c>
      <c r="AM603" s="92" t="s">
        <v>2208</v>
      </c>
      <c r="AW603" s="103"/>
      <c r="BI603"/>
    </row>
    <row r="604" spans="38:61" ht="15" x14ac:dyDescent="0.25">
      <c r="AL604" s="93" t="s">
        <v>2209</v>
      </c>
      <c r="AM604" s="92" t="s">
        <v>2210</v>
      </c>
      <c r="AW604" s="103"/>
      <c r="BI604"/>
    </row>
    <row r="605" spans="38:61" ht="15" x14ac:dyDescent="0.25">
      <c r="AL605" s="93" t="s">
        <v>2211</v>
      </c>
      <c r="AM605" s="92" t="s">
        <v>2212</v>
      </c>
      <c r="AW605" s="103"/>
      <c r="BI605"/>
    </row>
    <row r="606" spans="38:61" ht="15" x14ac:dyDescent="0.25">
      <c r="AL606" s="93" t="s">
        <v>2213</v>
      </c>
      <c r="AM606" s="92" t="s">
        <v>2214</v>
      </c>
      <c r="AW606" s="103"/>
      <c r="BI606"/>
    </row>
    <row r="607" spans="38:61" ht="15" x14ac:dyDescent="0.25">
      <c r="AL607" s="93" t="s">
        <v>2215</v>
      </c>
      <c r="AM607" s="92" t="s">
        <v>2216</v>
      </c>
      <c r="AW607" s="103"/>
      <c r="BI607"/>
    </row>
    <row r="608" spans="38:61" ht="15" x14ac:dyDescent="0.25">
      <c r="AL608" s="93" t="s">
        <v>2217</v>
      </c>
      <c r="AM608" s="92" t="s">
        <v>2218</v>
      </c>
      <c r="AW608" s="103"/>
      <c r="BI608"/>
    </row>
    <row r="609" spans="38:61" ht="15" x14ac:dyDescent="0.25">
      <c r="AL609" s="93" t="s">
        <v>2219</v>
      </c>
      <c r="AM609" s="92" t="s">
        <v>2220</v>
      </c>
      <c r="AW609" s="103"/>
      <c r="BI609"/>
    </row>
    <row r="610" spans="38:61" ht="15" x14ac:dyDescent="0.25">
      <c r="AL610" s="93" t="s">
        <v>2221</v>
      </c>
      <c r="AM610" s="92" t="s">
        <v>2222</v>
      </c>
      <c r="AW610" s="103"/>
      <c r="BI610"/>
    </row>
    <row r="611" spans="38:61" ht="15" x14ac:dyDescent="0.25">
      <c r="AL611" s="93" t="s">
        <v>2223</v>
      </c>
      <c r="AM611" s="92" t="s">
        <v>2224</v>
      </c>
      <c r="AW611" s="103"/>
      <c r="BI611"/>
    </row>
    <row r="612" spans="38:61" ht="15" x14ac:dyDescent="0.25">
      <c r="AL612" s="93" t="s">
        <v>2225</v>
      </c>
      <c r="AM612" s="92" t="s">
        <v>2226</v>
      </c>
      <c r="AW612" s="103"/>
      <c r="BI612"/>
    </row>
    <row r="613" spans="38:61" ht="15" x14ac:dyDescent="0.25">
      <c r="AL613" s="93" t="s">
        <v>2227</v>
      </c>
      <c r="AM613" s="92" t="s">
        <v>2228</v>
      </c>
      <c r="AW613" s="103"/>
      <c r="BI613"/>
    </row>
    <row r="614" spans="38:61" ht="15" x14ac:dyDescent="0.25">
      <c r="AL614" s="93" t="s">
        <v>2229</v>
      </c>
      <c r="AM614" s="92" t="s">
        <v>2230</v>
      </c>
      <c r="AW614" s="103"/>
      <c r="BI614"/>
    </row>
    <row r="615" spans="38:61" ht="15" x14ac:dyDescent="0.25">
      <c r="AL615" s="93" t="s">
        <v>2231</v>
      </c>
      <c r="AM615" s="92" t="s">
        <v>2232</v>
      </c>
      <c r="AW615" s="103"/>
      <c r="BI615"/>
    </row>
    <row r="616" spans="38:61" ht="15" x14ac:dyDescent="0.25">
      <c r="AL616" s="93" t="s">
        <v>2233</v>
      </c>
      <c r="AM616" s="92" t="s">
        <v>2234</v>
      </c>
      <c r="AW616" s="103"/>
      <c r="BI616"/>
    </row>
    <row r="617" spans="38:61" ht="15" x14ac:dyDescent="0.25">
      <c r="AL617" s="93" t="s">
        <v>2235</v>
      </c>
      <c r="AM617" s="92" t="s">
        <v>2236</v>
      </c>
      <c r="AW617" s="103"/>
      <c r="BI617"/>
    </row>
    <row r="618" spans="38:61" ht="15" x14ac:dyDescent="0.25">
      <c r="AL618" s="93" t="s">
        <v>2237</v>
      </c>
      <c r="AM618" s="92" t="s">
        <v>2238</v>
      </c>
      <c r="AW618" s="103"/>
      <c r="BI618"/>
    </row>
    <row r="619" spans="38:61" ht="15" x14ac:dyDescent="0.25">
      <c r="AL619" s="93" t="s">
        <v>2239</v>
      </c>
      <c r="AM619" s="92" t="s">
        <v>2240</v>
      </c>
      <c r="AW619" s="103"/>
      <c r="BI619"/>
    </row>
    <row r="620" spans="38:61" ht="15" x14ac:dyDescent="0.25">
      <c r="AL620" s="93" t="s">
        <v>2241</v>
      </c>
      <c r="AM620" s="92" t="s">
        <v>2242</v>
      </c>
      <c r="AW620" s="103"/>
      <c r="BI620"/>
    </row>
    <row r="621" spans="38:61" ht="15" x14ac:dyDescent="0.25">
      <c r="AL621" s="93" t="s">
        <v>2243</v>
      </c>
      <c r="AM621" s="92" t="s">
        <v>2244</v>
      </c>
      <c r="AW621" s="103"/>
      <c r="BI621"/>
    </row>
    <row r="622" spans="38:61" ht="15" x14ac:dyDescent="0.25">
      <c r="AL622" s="93" t="s">
        <v>2245</v>
      </c>
      <c r="AM622" s="92" t="s">
        <v>2246</v>
      </c>
      <c r="AW622" s="103"/>
      <c r="BI622"/>
    </row>
    <row r="623" spans="38:61" ht="15" x14ac:dyDescent="0.25">
      <c r="AL623" s="93" t="s">
        <v>2247</v>
      </c>
      <c r="AM623" s="92" t="s">
        <v>2248</v>
      </c>
      <c r="AW623" s="103"/>
      <c r="BI623"/>
    </row>
    <row r="624" spans="38:61" ht="15" x14ac:dyDescent="0.25">
      <c r="AL624" s="93" t="s">
        <v>2249</v>
      </c>
      <c r="AM624" s="92" t="s">
        <v>2250</v>
      </c>
      <c r="AW624" s="103"/>
      <c r="BI624"/>
    </row>
    <row r="625" spans="38:61" ht="15" x14ac:dyDescent="0.25">
      <c r="AL625" s="93" t="s">
        <v>2251</v>
      </c>
      <c r="AM625" s="92" t="s">
        <v>2252</v>
      </c>
      <c r="AW625" s="103"/>
      <c r="BI625"/>
    </row>
    <row r="626" spans="38:61" ht="15" x14ac:dyDescent="0.25">
      <c r="AL626" s="93" t="s">
        <v>2253</v>
      </c>
      <c r="AM626" s="92" t="s">
        <v>2254</v>
      </c>
      <c r="AW626" s="103"/>
      <c r="BI626"/>
    </row>
    <row r="627" spans="38:61" ht="15" x14ac:dyDescent="0.25">
      <c r="AL627" s="93" t="s">
        <v>2255</v>
      </c>
      <c r="AM627" s="92" t="s">
        <v>2256</v>
      </c>
      <c r="AW627" s="103"/>
      <c r="BI627"/>
    </row>
    <row r="628" spans="38:61" ht="15" x14ac:dyDescent="0.25">
      <c r="AL628" s="93" t="s">
        <v>2257</v>
      </c>
      <c r="AM628" s="92" t="s">
        <v>2258</v>
      </c>
      <c r="AW628" s="103"/>
      <c r="BI628"/>
    </row>
    <row r="629" spans="38:61" ht="15" x14ac:dyDescent="0.25">
      <c r="AL629" s="93" t="s">
        <v>2259</v>
      </c>
      <c r="AM629" s="92" t="s">
        <v>2260</v>
      </c>
      <c r="AW629" s="103"/>
      <c r="BI629"/>
    </row>
    <row r="630" spans="38:61" ht="15" x14ac:dyDescent="0.25">
      <c r="AL630" s="93" t="s">
        <v>2261</v>
      </c>
      <c r="AM630" s="92" t="s">
        <v>2262</v>
      </c>
      <c r="AW630" s="103"/>
      <c r="BI630"/>
    </row>
    <row r="631" spans="38:61" ht="15" x14ac:dyDescent="0.25">
      <c r="AL631" s="93" t="s">
        <v>2263</v>
      </c>
      <c r="AM631" s="92" t="s">
        <v>2264</v>
      </c>
      <c r="AW631" s="103"/>
      <c r="BI631"/>
    </row>
    <row r="632" spans="38:61" ht="15" x14ac:dyDescent="0.25">
      <c r="AL632" s="93" t="s">
        <v>2265</v>
      </c>
      <c r="AM632" s="92" t="s">
        <v>2266</v>
      </c>
      <c r="AW632" s="103"/>
      <c r="BI632"/>
    </row>
    <row r="633" spans="38:61" ht="15" x14ac:dyDescent="0.25">
      <c r="AL633" s="93" t="s">
        <v>2267</v>
      </c>
      <c r="AM633" s="92" t="s">
        <v>2268</v>
      </c>
      <c r="AW633" s="103"/>
      <c r="BI633"/>
    </row>
    <row r="634" spans="38:61" ht="15" x14ac:dyDescent="0.25">
      <c r="AL634" s="93" t="s">
        <v>2269</v>
      </c>
      <c r="AM634" s="92" t="s">
        <v>2270</v>
      </c>
      <c r="AW634" s="103"/>
      <c r="BI634"/>
    </row>
    <row r="635" spans="38:61" ht="15" x14ac:dyDescent="0.25">
      <c r="AL635" s="93" t="s">
        <v>2271</v>
      </c>
      <c r="AM635" s="92" t="s">
        <v>2272</v>
      </c>
      <c r="AW635" s="103"/>
      <c r="BI635"/>
    </row>
    <row r="636" spans="38:61" ht="15" x14ac:dyDescent="0.25">
      <c r="AL636" s="93" t="s">
        <v>2273</v>
      </c>
      <c r="AM636" s="92" t="s">
        <v>2274</v>
      </c>
      <c r="AW636" s="103"/>
      <c r="BI636"/>
    </row>
    <row r="637" spans="38:61" ht="15" x14ac:dyDescent="0.25">
      <c r="AL637" s="93" t="s">
        <v>2275</v>
      </c>
      <c r="AM637" s="92" t="s">
        <v>2276</v>
      </c>
      <c r="AW637" s="103"/>
      <c r="BI637"/>
    </row>
    <row r="638" spans="38:61" ht="15" x14ac:dyDescent="0.25">
      <c r="AL638" s="93" t="s">
        <v>2277</v>
      </c>
      <c r="AM638" s="92" t="s">
        <v>2278</v>
      </c>
      <c r="AW638" s="103"/>
      <c r="BI638"/>
    </row>
    <row r="639" spans="38:61" ht="15" x14ac:dyDescent="0.25">
      <c r="AL639" s="93" t="s">
        <v>2279</v>
      </c>
      <c r="AM639" s="92" t="s">
        <v>2280</v>
      </c>
      <c r="AW639" s="103"/>
      <c r="BI639"/>
    </row>
    <row r="640" spans="38:61" ht="15" x14ac:dyDescent="0.25">
      <c r="AL640" s="93" t="s">
        <v>2281</v>
      </c>
      <c r="AM640" s="92" t="s">
        <v>2282</v>
      </c>
      <c r="AW640" s="103"/>
      <c r="BI640"/>
    </row>
    <row r="641" spans="38:61" ht="15" x14ac:dyDescent="0.25">
      <c r="AL641" s="93" t="s">
        <v>2283</v>
      </c>
      <c r="AM641" s="92" t="s">
        <v>2284</v>
      </c>
      <c r="AW641" s="103"/>
      <c r="BI641"/>
    </row>
    <row r="642" spans="38:61" ht="15" x14ac:dyDescent="0.25">
      <c r="AL642" s="93" t="s">
        <v>2285</v>
      </c>
      <c r="AM642" s="92" t="s">
        <v>2286</v>
      </c>
      <c r="AW642" s="103"/>
      <c r="BI642"/>
    </row>
    <row r="643" spans="38:61" ht="15" x14ac:dyDescent="0.25">
      <c r="AL643" s="93" t="s">
        <v>2287</v>
      </c>
      <c r="AM643" s="92" t="s">
        <v>2288</v>
      </c>
      <c r="AW643" s="103"/>
      <c r="BI643"/>
    </row>
    <row r="644" spans="38:61" ht="15" x14ac:dyDescent="0.25">
      <c r="AL644" s="93" t="s">
        <v>2289</v>
      </c>
      <c r="AM644" s="92" t="s">
        <v>2290</v>
      </c>
      <c r="AW644" s="103"/>
      <c r="BI644"/>
    </row>
    <row r="645" spans="38:61" ht="15" x14ac:dyDescent="0.25">
      <c r="AL645" s="93" t="s">
        <v>2291</v>
      </c>
      <c r="AM645" s="92" t="s">
        <v>2292</v>
      </c>
      <c r="AW645" s="103"/>
      <c r="BI645"/>
    </row>
    <row r="646" spans="38:61" ht="15" x14ac:dyDescent="0.25">
      <c r="AL646" s="93" t="s">
        <v>2293</v>
      </c>
      <c r="AM646" s="92" t="s">
        <v>2294</v>
      </c>
      <c r="AW646" s="103"/>
      <c r="BI646"/>
    </row>
    <row r="647" spans="38:61" ht="15" x14ac:dyDescent="0.25">
      <c r="AL647" s="93" t="s">
        <v>2295</v>
      </c>
      <c r="AM647" s="92" t="s">
        <v>2296</v>
      </c>
      <c r="AW647" s="103"/>
      <c r="BI647"/>
    </row>
    <row r="648" spans="38:61" ht="15" x14ac:dyDescent="0.25">
      <c r="AL648" s="93" t="s">
        <v>2297</v>
      </c>
      <c r="AM648" s="92" t="s">
        <v>2298</v>
      </c>
      <c r="AW648" s="103"/>
      <c r="BI648"/>
    </row>
    <row r="649" spans="38:61" ht="15" x14ac:dyDescent="0.25">
      <c r="AL649" s="93" t="s">
        <v>2299</v>
      </c>
      <c r="AM649" s="92" t="s">
        <v>2300</v>
      </c>
      <c r="AW649" s="103"/>
      <c r="BI649"/>
    </row>
    <row r="650" spans="38:61" ht="15" x14ac:dyDescent="0.25">
      <c r="AL650" s="93" t="s">
        <v>2301</v>
      </c>
      <c r="AM650" s="92" t="s">
        <v>2302</v>
      </c>
      <c r="AW650" s="103"/>
      <c r="BI650"/>
    </row>
    <row r="651" spans="38:61" ht="15" x14ac:dyDescent="0.25">
      <c r="AL651" s="93" t="s">
        <v>2303</v>
      </c>
      <c r="AM651" s="92" t="s">
        <v>2304</v>
      </c>
      <c r="AW651" s="103"/>
      <c r="BI651"/>
    </row>
    <row r="652" spans="38:61" ht="15" x14ac:dyDescent="0.25">
      <c r="AL652" s="93" t="s">
        <v>2305</v>
      </c>
      <c r="AM652" s="92" t="s">
        <v>2306</v>
      </c>
      <c r="AW652" s="103"/>
      <c r="BI652"/>
    </row>
    <row r="653" spans="38:61" ht="15" x14ac:dyDescent="0.25">
      <c r="AL653" s="93" t="s">
        <v>2307</v>
      </c>
      <c r="AM653" s="92" t="s">
        <v>2308</v>
      </c>
      <c r="AW653" s="103"/>
      <c r="BI653"/>
    </row>
    <row r="654" spans="38:61" ht="15" x14ac:dyDescent="0.25">
      <c r="AL654" s="93" t="s">
        <v>2309</v>
      </c>
      <c r="AM654" s="92" t="s">
        <v>2310</v>
      </c>
      <c r="AW654" s="103"/>
      <c r="BI654"/>
    </row>
    <row r="655" spans="38:61" ht="15" x14ac:dyDescent="0.25">
      <c r="AL655" s="93" t="s">
        <v>2311</v>
      </c>
      <c r="AM655" s="92" t="s">
        <v>2312</v>
      </c>
      <c r="AW655" s="103"/>
      <c r="BI655"/>
    </row>
    <row r="656" spans="38:61" ht="15" x14ac:dyDescent="0.25">
      <c r="AL656" s="93" t="s">
        <v>2313</v>
      </c>
      <c r="AM656" s="92" t="s">
        <v>2314</v>
      </c>
      <c r="AW656" s="103"/>
      <c r="BI656"/>
    </row>
    <row r="657" spans="38:61" ht="15" x14ac:dyDescent="0.25">
      <c r="AL657" s="93" t="s">
        <v>2315</v>
      </c>
      <c r="AM657" s="92" t="s">
        <v>2316</v>
      </c>
      <c r="AW657" s="103"/>
      <c r="BI657"/>
    </row>
    <row r="658" spans="38:61" ht="15" x14ac:dyDescent="0.25">
      <c r="AL658" s="93" t="s">
        <v>2317</v>
      </c>
      <c r="AM658" s="92" t="s">
        <v>2318</v>
      </c>
      <c r="AW658" s="103"/>
      <c r="BI658"/>
    </row>
    <row r="659" spans="38:61" ht="15" x14ac:dyDescent="0.25">
      <c r="AL659" s="93" t="s">
        <v>2319</v>
      </c>
      <c r="AM659" s="92" t="s">
        <v>2320</v>
      </c>
      <c r="AW659" s="103"/>
      <c r="BI659"/>
    </row>
    <row r="660" spans="38:61" ht="15" x14ac:dyDescent="0.25">
      <c r="AL660" s="93" t="s">
        <v>2321</v>
      </c>
      <c r="AM660" s="92" t="s">
        <v>2322</v>
      </c>
      <c r="AW660" s="103"/>
      <c r="BI660"/>
    </row>
    <row r="661" spans="38:61" ht="15" x14ac:dyDescent="0.25">
      <c r="AL661" s="93" t="s">
        <v>2323</v>
      </c>
      <c r="AM661" s="92" t="s">
        <v>2324</v>
      </c>
      <c r="AW661" s="103"/>
      <c r="BI661"/>
    </row>
    <row r="662" spans="38:61" ht="15" x14ac:dyDescent="0.25">
      <c r="AL662" s="93" t="s">
        <v>2325</v>
      </c>
      <c r="AM662" s="92" t="s">
        <v>2326</v>
      </c>
      <c r="AW662" s="103"/>
      <c r="BI662"/>
    </row>
    <row r="663" spans="38:61" ht="15" x14ac:dyDescent="0.25">
      <c r="AL663" s="93" t="s">
        <v>2327</v>
      </c>
      <c r="AM663" s="92" t="s">
        <v>2328</v>
      </c>
      <c r="AW663" s="103"/>
      <c r="BI663"/>
    </row>
    <row r="664" spans="38:61" ht="15" x14ac:dyDescent="0.25">
      <c r="AL664" s="93" t="s">
        <v>2329</v>
      </c>
      <c r="AM664" s="92" t="s">
        <v>2330</v>
      </c>
      <c r="AW664" s="103"/>
      <c r="BI664"/>
    </row>
    <row r="665" spans="38:61" ht="15" x14ac:dyDescent="0.25">
      <c r="AL665" s="93" t="s">
        <v>2331</v>
      </c>
      <c r="AM665" s="92" t="s">
        <v>2332</v>
      </c>
      <c r="AW665" s="103"/>
      <c r="BI665"/>
    </row>
    <row r="666" spans="38:61" ht="15" x14ac:dyDescent="0.25">
      <c r="AL666" s="93" t="s">
        <v>2333</v>
      </c>
      <c r="AM666" s="92" t="s">
        <v>2334</v>
      </c>
      <c r="AW666" s="103"/>
      <c r="BI666"/>
    </row>
    <row r="667" spans="38:61" ht="15" x14ac:dyDescent="0.25">
      <c r="AL667" s="93" t="s">
        <v>2335</v>
      </c>
      <c r="AM667" s="92" t="s">
        <v>2336</v>
      </c>
      <c r="AW667" s="103"/>
      <c r="BI667"/>
    </row>
    <row r="668" spans="38:61" ht="15" x14ac:dyDescent="0.25">
      <c r="AL668" s="93" t="s">
        <v>2337</v>
      </c>
      <c r="AM668" s="92" t="s">
        <v>2338</v>
      </c>
      <c r="AW668" s="103"/>
      <c r="BI668"/>
    </row>
    <row r="669" spans="38:61" ht="15" x14ac:dyDescent="0.25">
      <c r="AL669" s="93" t="s">
        <v>2339</v>
      </c>
      <c r="AM669" s="92" t="s">
        <v>2340</v>
      </c>
      <c r="AW669" s="103"/>
      <c r="BI669"/>
    </row>
    <row r="670" spans="38:61" ht="15" x14ac:dyDescent="0.25">
      <c r="AL670" s="93" t="s">
        <v>2341</v>
      </c>
      <c r="AM670" s="92" t="s">
        <v>2342</v>
      </c>
      <c r="AW670" s="103"/>
      <c r="BI670"/>
    </row>
    <row r="671" spans="38:61" ht="15" x14ac:dyDescent="0.25">
      <c r="AL671" s="93" t="s">
        <v>2343</v>
      </c>
      <c r="AM671" s="92" t="s">
        <v>2344</v>
      </c>
      <c r="AW671" s="103"/>
      <c r="BI671"/>
    </row>
    <row r="672" spans="38:61" ht="15" x14ac:dyDescent="0.25">
      <c r="AL672" s="93" t="s">
        <v>2345</v>
      </c>
      <c r="AM672" s="92" t="s">
        <v>2346</v>
      </c>
      <c r="AW672" s="103"/>
      <c r="BI672"/>
    </row>
    <row r="673" spans="38:61" ht="15" x14ac:dyDescent="0.25">
      <c r="AL673" s="93" t="s">
        <v>2347</v>
      </c>
      <c r="AM673" s="92" t="s">
        <v>2348</v>
      </c>
      <c r="AW673" s="103"/>
      <c r="BI673"/>
    </row>
    <row r="674" spans="38:61" ht="15" x14ac:dyDescent="0.25">
      <c r="AL674" s="93" t="s">
        <v>2349</v>
      </c>
      <c r="AM674" s="92" t="s">
        <v>2350</v>
      </c>
      <c r="AW674" s="103"/>
      <c r="BI674"/>
    </row>
    <row r="675" spans="38:61" ht="15" x14ac:dyDescent="0.25">
      <c r="AL675" s="93" t="s">
        <v>2351</v>
      </c>
      <c r="AM675" s="92" t="s">
        <v>2352</v>
      </c>
      <c r="AW675" s="103"/>
      <c r="BI675"/>
    </row>
    <row r="676" spans="38:61" ht="15" x14ac:dyDescent="0.25">
      <c r="AL676" s="93" t="s">
        <v>2353</v>
      </c>
      <c r="AM676" s="92" t="s">
        <v>2354</v>
      </c>
      <c r="AW676" s="103"/>
      <c r="BI676"/>
    </row>
    <row r="677" spans="38:61" ht="15" x14ac:dyDescent="0.25">
      <c r="AL677" s="93" t="s">
        <v>2355</v>
      </c>
      <c r="AM677" s="92" t="s">
        <v>2356</v>
      </c>
      <c r="AW677" s="103"/>
      <c r="BI677"/>
    </row>
    <row r="678" spans="38:61" ht="15" x14ac:dyDescent="0.25">
      <c r="AL678" s="93" t="s">
        <v>2357</v>
      </c>
      <c r="AM678" s="92" t="s">
        <v>2358</v>
      </c>
      <c r="AW678" s="103"/>
      <c r="BI678"/>
    </row>
    <row r="679" spans="38:61" ht="15" x14ac:dyDescent="0.25">
      <c r="AL679" s="93" t="s">
        <v>2359</v>
      </c>
      <c r="AM679" s="92" t="s">
        <v>2360</v>
      </c>
      <c r="AW679" s="103"/>
      <c r="BI679"/>
    </row>
    <row r="680" spans="38:61" ht="15" x14ac:dyDescent="0.25">
      <c r="AL680" s="93" t="s">
        <v>2361</v>
      </c>
      <c r="AM680" s="92" t="s">
        <v>2362</v>
      </c>
      <c r="AW680" s="103"/>
      <c r="BI680"/>
    </row>
    <row r="681" spans="38:61" ht="15" x14ac:dyDescent="0.25">
      <c r="AL681" s="93" t="s">
        <v>2363</v>
      </c>
      <c r="AM681" s="92" t="s">
        <v>2364</v>
      </c>
      <c r="AW681" s="103"/>
      <c r="BI681"/>
    </row>
    <row r="682" spans="38:61" ht="15" x14ac:dyDescent="0.25">
      <c r="AL682" s="93" t="s">
        <v>2365</v>
      </c>
      <c r="AM682" s="92" t="s">
        <v>2366</v>
      </c>
      <c r="AW682" s="103"/>
      <c r="BI682"/>
    </row>
    <row r="683" spans="38:61" ht="15" x14ac:dyDescent="0.25">
      <c r="AL683" s="93" t="s">
        <v>2367</v>
      </c>
      <c r="AM683" s="92" t="s">
        <v>2368</v>
      </c>
      <c r="AW683" s="103"/>
      <c r="BI683"/>
    </row>
    <row r="684" spans="38:61" ht="15" x14ac:dyDescent="0.25">
      <c r="AL684" s="93" t="s">
        <v>2369</v>
      </c>
      <c r="AM684" s="92" t="s">
        <v>2370</v>
      </c>
      <c r="AW684" s="103"/>
      <c r="BI684"/>
    </row>
    <row r="685" spans="38:61" ht="15" x14ac:dyDescent="0.25">
      <c r="AL685" s="93" t="s">
        <v>2371</v>
      </c>
      <c r="AM685" s="92" t="s">
        <v>2372</v>
      </c>
      <c r="AW685" s="103"/>
      <c r="BI685"/>
    </row>
    <row r="686" spans="38:61" ht="15" x14ac:dyDescent="0.25">
      <c r="AL686" s="93" t="s">
        <v>2373</v>
      </c>
      <c r="AM686" s="92" t="s">
        <v>2374</v>
      </c>
      <c r="AW686" s="103"/>
      <c r="BI686"/>
    </row>
    <row r="687" spans="38:61" ht="15" x14ac:dyDescent="0.25">
      <c r="AL687" s="93" t="s">
        <v>2375</v>
      </c>
      <c r="AM687" s="92" t="s">
        <v>2376</v>
      </c>
      <c r="AW687" s="103"/>
      <c r="BI687"/>
    </row>
    <row r="688" spans="38:61" ht="15" x14ac:dyDescent="0.25">
      <c r="AL688" s="93" t="s">
        <v>2377</v>
      </c>
      <c r="AM688" s="92" t="s">
        <v>2378</v>
      </c>
      <c r="AW688" s="103"/>
      <c r="BI688"/>
    </row>
    <row r="689" spans="38:61" ht="15" x14ac:dyDescent="0.25">
      <c r="AL689" s="93" t="s">
        <v>2379</v>
      </c>
      <c r="AM689" s="92" t="s">
        <v>2380</v>
      </c>
      <c r="AW689" s="103"/>
      <c r="BI689"/>
    </row>
    <row r="690" spans="38:61" ht="15" x14ac:dyDescent="0.25">
      <c r="AL690" s="93" t="s">
        <v>2381</v>
      </c>
      <c r="AM690" s="92" t="s">
        <v>2382</v>
      </c>
      <c r="AW690" s="103"/>
      <c r="BI690"/>
    </row>
    <row r="691" spans="38:61" ht="15" x14ac:dyDescent="0.25">
      <c r="AL691" s="93" t="s">
        <v>2383</v>
      </c>
      <c r="AM691" s="92" t="s">
        <v>2384</v>
      </c>
      <c r="AW691" s="103"/>
      <c r="BI691"/>
    </row>
    <row r="692" spans="38:61" ht="15" x14ac:dyDescent="0.25">
      <c r="AL692" s="93" t="s">
        <v>2385</v>
      </c>
      <c r="AM692" s="92" t="s">
        <v>2386</v>
      </c>
      <c r="AW692" s="103"/>
      <c r="BI692"/>
    </row>
    <row r="693" spans="38:61" ht="15" x14ac:dyDescent="0.25">
      <c r="AL693" s="93" t="s">
        <v>2387</v>
      </c>
      <c r="AM693" s="92" t="s">
        <v>2388</v>
      </c>
      <c r="AW693" s="103"/>
      <c r="BI693"/>
    </row>
    <row r="694" spans="38:61" ht="15" x14ac:dyDescent="0.25">
      <c r="AL694" s="93" t="s">
        <v>2389</v>
      </c>
      <c r="AM694" s="92" t="s">
        <v>2390</v>
      </c>
      <c r="AW694" s="103"/>
      <c r="BI694"/>
    </row>
    <row r="695" spans="38:61" ht="15" x14ac:dyDescent="0.25">
      <c r="AL695" s="93" t="s">
        <v>2391</v>
      </c>
      <c r="AM695" s="92" t="s">
        <v>2392</v>
      </c>
      <c r="AW695" s="103"/>
      <c r="BI695"/>
    </row>
    <row r="696" spans="38:61" ht="15" x14ac:dyDescent="0.25">
      <c r="AL696" s="93" t="s">
        <v>2393</v>
      </c>
      <c r="AM696" s="92" t="s">
        <v>2394</v>
      </c>
      <c r="AW696" s="103"/>
      <c r="BI696"/>
    </row>
    <row r="697" spans="38:61" ht="15" x14ac:dyDescent="0.25">
      <c r="AL697" s="93" t="s">
        <v>2395</v>
      </c>
      <c r="AM697" s="92" t="s">
        <v>2396</v>
      </c>
      <c r="AW697" s="103"/>
      <c r="BI697"/>
    </row>
    <row r="698" spans="38:61" ht="15" x14ac:dyDescent="0.25">
      <c r="AL698" s="93" t="s">
        <v>2397</v>
      </c>
      <c r="AM698" s="92" t="s">
        <v>2398</v>
      </c>
      <c r="AW698" s="103"/>
      <c r="BI698"/>
    </row>
    <row r="699" spans="38:61" ht="15" x14ac:dyDescent="0.25">
      <c r="AL699" s="93" t="s">
        <v>2399</v>
      </c>
      <c r="AM699" s="92" t="s">
        <v>2400</v>
      </c>
      <c r="AW699" s="103"/>
      <c r="BI699"/>
    </row>
    <row r="700" spans="38:61" ht="15" x14ac:dyDescent="0.25">
      <c r="AL700" s="93" t="s">
        <v>2401</v>
      </c>
      <c r="AM700" s="92" t="s">
        <v>2402</v>
      </c>
      <c r="AW700" s="103"/>
      <c r="BI700"/>
    </row>
    <row r="701" spans="38:61" ht="15" x14ac:dyDescent="0.25">
      <c r="AL701" s="93" t="s">
        <v>2403</v>
      </c>
      <c r="AM701" s="92" t="s">
        <v>2404</v>
      </c>
      <c r="AW701" s="103"/>
      <c r="BI701"/>
    </row>
    <row r="702" spans="38:61" ht="15" x14ac:dyDescent="0.25">
      <c r="AL702" s="93" t="s">
        <v>2405</v>
      </c>
      <c r="AM702" s="92" t="s">
        <v>2406</v>
      </c>
      <c r="AW702" s="103"/>
      <c r="BI702"/>
    </row>
    <row r="703" spans="38:61" ht="15" x14ac:dyDescent="0.25">
      <c r="AL703" s="93" t="s">
        <v>2407</v>
      </c>
      <c r="AM703" s="92" t="s">
        <v>2408</v>
      </c>
      <c r="AW703" s="103"/>
      <c r="BI703"/>
    </row>
    <row r="704" spans="38:61" ht="15" x14ac:dyDescent="0.25">
      <c r="AL704" s="93" t="s">
        <v>2409</v>
      </c>
      <c r="AM704" s="92" t="s">
        <v>2410</v>
      </c>
      <c r="AW704" s="103"/>
      <c r="BI704"/>
    </row>
    <row r="705" spans="38:61" ht="15" x14ac:dyDescent="0.25">
      <c r="AL705" s="93" t="s">
        <v>2411</v>
      </c>
      <c r="AM705" s="92" t="s">
        <v>2412</v>
      </c>
      <c r="AW705" s="103"/>
      <c r="BI705"/>
    </row>
    <row r="706" spans="38:61" ht="15" x14ac:dyDescent="0.25">
      <c r="AL706" s="93" t="s">
        <v>2413</v>
      </c>
      <c r="AM706" s="92" t="s">
        <v>2414</v>
      </c>
      <c r="AW706" s="103"/>
      <c r="BI706"/>
    </row>
    <row r="707" spans="38:61" ht="15" x14ac:dyDescent="0.25">
      <c r="AL707" s="93" t="s">
        <v>2415</v>
      </c>
      <c r="AM707" s="92" t="s">
        <v>2416</v>
      </c>
      <c r="AW707" s="103"/>
      <c r="BI707"/>
    </row>
    <row r="708" spans="38:61" ht="15" x14ac:dyDescent="0.25">
      <c r="AL708" s="93" t="s">
        <v>2417</v>
      </c>
      <c r="AM708" s="92" t="s">
        <v>2418</v>
      </c>
      <c r="AW708" s="103"/>
      <c r="BI708"/>
    </row>
    <row r="709" spans="38:61" ht="15" x14ac:dyDescent="0.25">
      <c r="AL709" s="93" t="s">
        <v>2419</v>
      </c>
      <c r="AM709" s="92" t="s">
        <v>2420</v>
      </c>
      <c r="AW709" s="103"/>
      <c r="BI709"/>
    </row>
    <row r="710" spans="38:61" ht="15" x14ac:dyDescent="0.25">
      <c r="AL710" s="93" t="s">
        <v>2421</v>
      </c>
      <c r="AM710" s="92" t="s">
        <v>2422</v>
      </c>
      <c r="AW710" s="103"/>
      <c r="BI710"/>
    </row>
    <row r="711" spans="38:61" ht="15" x14ac:dyDescent="0.25">
      <c r="AL711" s="93" t="s">
        <v>2423</v>
      </c>
      <c r="AM711" s="92" t="s">
        <v>2424</v>
      </c>
      <c r="AW711" s="103"/>
      <c r="BI711"/>
    </row>
    <row r="712" spans="38:61" ht="15" x14ac:dyDescent="0.25">
      <c r="AL712" s="93" t="s">
        <v>2425</v>
      </c>
      <c r="AM712" s="92" t="s">
        <v>2426</v>
      </c>
      <c r="AW712" s="103"/>
      <c r="BI712"/>
    </row>
    <row r="713" spans="38:61" ht="15" x14ac:dyDescent="0.25">
      <c r="AL713" s="93" t="s">
        <v>2427</v>
      </c>
      <c r="AM713" s="92" t="s">
        <v>2428</v>
      </c>
      <c r="AW713" s="103"/>
      <c r="BI713"/>
    </row>
    <row r="714" spans="38:61" ht="15" x14ac:dyDescent="0.25">
      <c r="AL714" s="93" t="s">
        <v>2429</v>
      </c>
      <c r="AM714" s="92" t="s">
        <v>2430</v>
      </c>
      <c r="AW714" s="103"/>
      <c r="BI714"/>
    </row>
    <row r="715" spans="38:61" ht="15" x14ac:dyDescent="0.25">
      <c r="AL715" s="93" t="s">
        <v>2431</v>
      </c>
      <c r="AM715" s="92" t="s">
        <v>2432</v>
      </c>
      <c r="AW715" s="103"/>
      <c r="BI715"/>
    </row>
    <row r="716" spans="38:61" ht="15" x14ac:dyDescent="0.25">
      <c r="AL716" s="93" t="s">
        <v>2433</v>
      </c>
      <c r="AM716" s="92" t="s">
        <v>2434</v>
      </c>
      <c r="AW716" s="103"/>
      <c r="BI716"/>
    </row>
    <row r="717" spans="38:61" ht="15" x14ac:dyDescent="0.25">
      <c r="AL717" s="93" t="s">
        <v>2435</v>
      </c>
      <c r="AM717" s="92" t="s">
        <v>2436</v>
      </c>
      <c r="AW717" s="103"/>
      <c r="BI717"/>
    </row>
    <row r="718" spans="38:61" ht="15" x14ac:dyDescent="0.25">
      <c r="AL718" s="93" t="s">
        <v>2437</v>
      </c>
      <c r="AM718" s="92" t="s">
        <v>2438</v>
      </c>
      <c r="AW718" s="103"/>
      <c r="BI718"/>
    </row>
    <row r="719" spans="38:61" ht="15" x14ac:dyDescent="0.25">
      <c r="AL719" s="93" t="s">
        <v>2439</v>
      </c>
      <c r="AM719" s="92" t="s">
        <v>2440</v>
      </c>
      <c r="AW719" s="103"/>
      <c r="BI719"/>
    </row>
    <row r="720" spans="38:61" ht="15" x14ac:dyDescent="0.25">
      <c r="AL720" s="93" t="s">
        <v>2441</v>
      </c>
      <c r="AM720" s="92" t="s">
        <v>2442</v>
      </c>
      <c r="AW720" s="103"/>
      <c r="BI720"/>
    </row>
    <row r="721" spans="38:61" ht="15" x14ac:dyDescent="0.25">
      <c r="AL721" s="93" t="s">
        <v>2443</v>
      </c>
      <c r="AM721" s="92" t="s">
        <v>2444</v>
      </c>
      <c r="AW721" s="103"/>
      <c r="BI721"/>
    </row>
    <row r="722" spans="38:61" ht="15" x14ac:dyDescent="0.25">
      <c r="AL722" s="93" t="s">
        <v>2445</v>
      </c>
      <c r="AM722" s="92" t="s">
        <v>2446</v>
      </c>
      <c r="AW722" s="103"/>
      <c r="BI722"/>
    </row>
    <row r="723" spans="38:61" ht="15" x14ac:dyDescent="0.25">
      <c r="AL723" s="93" t="s">
        <v>2447</v>
      </c>
      <c r="AM723" s="92" t="s">
        <v>2448</v>
      </c>
      <c r="AW723" s="103"/>
      <c r="BI723"/>
    </row>
    <row r="724" spans="38:61" ht="15" x14ac:dyDescent="0.25">
      <c r="AL724" s="93" t="s">
        <v>2449</v>
      </c>
      <c r="AM724" s="92" t="s">
        <v>2450</v>
      </c>
      <c r="AW724" s="103"/>
      <c r="BI724"/>
    </row>
    <row r="725" spans="38:61" ht="15" x14ac:dyDescent="0.25">
      <c r="AL725" s="93" t="s">
        <v>2451</v>
      </c>
      <c r="AM725" s="92" t="s">
        <v>2452</v>
      </c>
      <c r="AW725" s="103"/>
      <c r="BI725"/>
    </row>
    <row r="726" spans="38:61" ht="15" x14ac:dyDescent="0.25">
      <c r="AL726" s="93" t="s">
        <v>2453</v>
      </c>
      <c r="AM726" s="92" t="s">
        <v>2454</v>
      </c>
      <c r="AW726" s="103"/>
      <c r="BI726"/>
    </row>
    <row r="727" spans="38:61" ht="15" x14ac:dyDescent="0.25">
      <c r="AL727" s="93" t="s">
        <v>2455</v>
      </c>
      <c r="AM727" s="92" t="s">
        <v>2456</v>
      </c>
      <c r="AW727" s="103"/>
      <c r="BI727"/>
    </row>
    <row r="728" spans="38:61" ht="15" x14ac:dyDescent="0.25">
      <c r="AL728" s="93" t="s">
        <v>2457</v>
      </c>
      <c r="AM728" s="92" t="s">
        <v>2458</v>
      </c>
      <c r="AW728" s="103"/>
      <c r="BI728"/>
    </row>
    <row r="729" spans="38:61" ht="15" x14ac:dyDescent="0.25">
      <c r="AL729" s="93" t="s">
        <v>2459</v>
      </c>
      <c r="AM729" s="92" t="s">
        <v>2460</v>
      </c>
      <c r="AW729" s="103"/>
      <c r="BI729"/>
    </row>
    <row r="730" spans="38:61" ht="15" x14ac:dyDescent="0.25">
      <c r="AL730" s="93" t="s">
        <v>2461</v>
      </c>
      <c r="AM730" s="92" t="s">
        <v>2462</v>
      </c>
      <c r="AW730" s="103"/>
      <c r="BI730"/>
    </row>
    <row r="731" spans="38:61" ht="15" x14ac:dyDescent="0.25">
      <c r="AL731" s="93" t="s">
        <v>2463</v>
      </c>
      <c r="AM731" s="92" t="s">
        <v>2464</v>
      </c>
      <c r="AW731" s="103"/>
      <c r="BI731"/>
    </row>
    <row r="732" spans="38:61" ht="15" x14ac:dyDescent="0.25">
      <c r="AL732" s="93" t="s">
        <v>2465</v>
      </c>
      <c r="AM732" s="92" t="s">
        <v>2466</v>
      </c>
      <c r="AW732" s="103"/>
      <c r="BI732"/>
    </row>
    <row r="733" spans="38:61" ht="15" x14ac:dyDescent="0.25">
      <c r="AL733" s="93" t="s">
        <v>2467</v>
      </c>
      <c r="AM733" s="92" t="s">
        <v>2468</v>
      </c>
      <c r="AW733" s="103"/>
      <c r="BI733"/>
    </row>
    <row r="734" spans="38:61" ht="15" x14ac:dyDescent="0.25">
      <c r="AL734" s="93" t="s">
        <v>2469</v>
      </c>
      <c r="AM734" s="92" t="s">
        <v>2470</v>
      </c>
      <c r="AW734" s="103"/>
      <c r="BI734"/>
    </row>
    <row r="735" spans="38:61" ht="15" x14ac:dyDescent="0.25">
      <c r="AL735" s="93" t="s">
        <v>2471</v>
      </c>
      <c r="AM735" s="92" t="s">
        <v>2472</v>
      </c>
      <c r="AW735" s="103"/>
      <c r="BI735"/>
    </row>
    <row r="736" spans="38:61" ht="15" x14ac:dyDescent="0.25">
      <c r="AL736" s="93" t="s">
        <v>2473</v>
      </c>
      <c r="AM736" s="92" t="s">
        <v>2474</v>
      </c>
      <c r="AW736" s="103"/>
      <c r="BI736"/>
    </row>
    <row r="737" spans="38:61" ht="15" x14ac:dyDescent="0.25">
      <c r="AL737" s="93" t="s">
        <v>2475</v>
      </c>
      <c r="AM737" s="92" t="s">
        <v>2476</v>
      </c>
      <c r="AW737" s="103"/>
      <c r="BI737"/>
    </row>
    <row r="738" spans="38:61" ht="15" x14ac:dyDescent="0.25">
      <c r="AL738" s="93" t="s">
        <v>2477</v>
      </c>
      <c r="AM738" s="92" t="s">
        <v>2478</v>
      </c>
      <c r="AW738" s="103"/>
      <c r="BI738"/>
    </row>
    <row r="739" spans="38:61" ht="15" x14ac:dyDescent="0.25">
      <c r="AL739" s="93" t="s">
        <v>2479</v>
      </c>
      <c r="AM739" s="92" t="s">
        <v>2480</v>
      </c>
      <c r="AW739" s="103"/>
      <c r="BI739"/>
    </row>
    <row r="740" spans="38:61" ht="15" x14ac:dyDescent="0.25">
      <c r="AL740" s="93" t="s">
        <v>2481</v>
      </c>
      <c r="AM740" s="92" t="s">
        <v>2482</v>
      </c>
      <c r="AW740" s="103"/>
      <c r="BI740"/>
    </row>
    <row r="741" spans="38:61" ht="15" x14ac:dyDescent="0.25">
      <c r="AL741" s="93" t="s">
        <v>2483</v>
      </c>
      <c r="AM741" s="92" t="s">
        <v>2484</v>
      </c>
      <c r="AW741" s="103"/>
      <c r="BI741"/>
    </row>
    <row r="742" spans="38:61" ht="15" x14ac:dyDescent="0.25">
      <c r="AL742" s="93" t="s">
        <v>2485</v>
      </c>
      <c r="AM742" s="92" t="s">
        <v>2486</v>
      </c>
      <c r="AW742" s="103"/>
      <c r="BI742"/>
    </row>
    <row r="743" spans="38:61" ht="15" x14ac:dyDescent="0.25">
      <c r="AL743" s="93" t="s">
        <v>2487</v>
      </c>
      <c r="AM743" s="92" t="s">
        <v>2488</v>
      </c>
      <c r="AW743" s="103"/>
      <c r="BI743"/>
    </row>
    <row r="744" spans="38:61" ht="15" x14ac:dyDescent="0.25">
      <c r="AL744" s="93" t="s">
        <v>2489</v>
      </c>
      <c r="AM744" s="92" t="s">
        <v>2490</v>
      </c>
      <c r="AW744" s="103"/>
      <c r="BI744"/>
    </row>
    <row r="745" spans="38:61" ht="15" x14ac:dyDescent="0.25">
      <c r="AL745" s="93" t="s">
        <v>2491</v>
      </c>
      <c r="AM745" s="92" t="s">
        <v>2492</v>
      </c>
      <c r="AW745" s="103"/>
      <c r="BI745"/>
    </row>
    <row r="746" spans="38:61" ht="15" x14ac:dyDescent="0.25">
      <c r="AL746" s="93" t="s">
        <v>2493</v>
      </c>
      <c r="AM746" s="92" t="s">
        <v>2494</v>
      </c>
      <c r="AW746" s="103"/>
      <c r="BI746"/>
    </row>
    <row r="747" spans="38:61" ht="15" x14ac:dyDescent="0.25">
      <c r="AL747" s="93" t="s">
        <v>2495</v>
      </c>
      <c r="AM747" s="92" t="s">
        <v>2496</v>
      </c>
      <c r="AW747" s="103"/>
      <c r="BI747"/>
    </row>
    <row r="748" spans="38:61" ht="15" x14ac:dyDescent="0.25">
      <c r="AL748" s="93" t="s">
        <v>2497</v>
      </c>
      <c r="AM748" s="92" t="s">
        <v>2498</v>
      </c>
      <c r="AW748" s="103"/>
      <c r="BI748"/>
    </row>
    <row r="749" spans="38:61" ht="15" x14ac:dyDescent="0.25">
      <c r="AL749" s="93" t="s">
        <v>2499</v>
      </c>
      <c r="AM749" s="92" t="s">
        <v>2500</v>
      </c>
      <c r="AW749" s="103"/>
      <c r="BI749"/>
    </row>
    <row r="750" spans="38:61" ht="15" x14ac:dyDescent="0.25">
      <c r="AL750" s="93" t="s">
        <v>2501</v>
      </c>
      <c r="AM750" s="92" t="s">
        <v>2502</v>
      </c>
      <c r="AW750" s="103"/>
      <c r="BI750"/>
    </row>
    <row r="751" spans="38:61" ht="15" x14ac:dyDescent="0.25">
      <c r="AL751" s="93" t="s">
        <v>2503</v>
      </c>
      <c r="AM751" s="92" t="s">
        <v>2504</v>
      </c>
      <c r="AW751" s="103"/>
      <c r="BI751"/>
    </row>
    <row r="752" spans="38:61" ht="15" x14ac:dyDescent="0.25">
      <c r="AL752" s="93" t="s">
        <v>2505</v>
      </c>
      <c r="AM752" s="92" t="s">
        <v>2506</v>
      </c>
      <c r="AW752" s="103"/>
      <c r="BI752"/>
    </row>
    <row r="753" spans="38:61" ht="15" x14ac:dyDescent="0.25">
      <c r="AL753" s="93" t="s">
        <v>2507</v>
      </c>
      <c r="AM753" s="92" t="s">
        <v>2508</v>
      </c>
      <c r="AW753" s="103"/>
      <c r="BI753"/>
    </row>
    <row r="754" spans="38:61" ht="15" x14ac:dyDescent="0.25">
      <c r="AL754" s="93" t="s">
        <v>2509</v>
      </c>
      <c r="AM754" s="92" t="s">
        <v>2510</v>
      </c>
      <c r="AW754" s="103"/>
      <c r="BI754"/>
    </row>
    <row r="755" spans="38:61" ht="15" x14ac:dyDescent="0.25">
      <c r="AL755" s="93" t="s">
        <v>2511</v>
      </c>
      <c r="AM755" s="92" t="s">
        <v>2512</v>
      </c>
      <c r="AW755" s="103"/>
      <c r="BI755"/>
    </row>
    <row r="756" spans="38:61" ht="15" x14ac:dyDescent="0.25">
      <c r="AL756" s="93" t="s">
        <v>2513</v>
      </c>
      <c r="AM756" s="92" t="s">
        <v>2514</v>
      </c>
      <c r="AW756" s="103"/>
      <c r="BI756"/>
    </row>
    <row r="757" spans="38:61" ht="15" x14ac:dyDescent="0.25">
      <c r="AL757" s="93" t="s">
        <v>2515</v>
      </c>
      <c r="AM757" s="92" t="s">
        <v>2516</v>
      </c>
      <c r="AW757" s="103"/>
      <c r="BI757"/>
    </row>
    <row r="758" spans="38:61" ht="15" x14ac:dyDescent="0.25">
      <c r="AL758" s="93" t="s">
        <v>2517</v>
      </c>
      <c r="AM758" s="92" t="s">
        <v>2518</v>
      </c>
      <c r="AW758" s="103"/>
      <c r="BI758"/>
    </row>
    <row r="759" spans="38:61" ht="15" x14ac:dyDescent="0.25">
      <c r="AL759" s="93" t="s">
        <v>2519</v>
      </c>
      <c r="AM759" s="92" t="s">
        <v>2520</v>
      </c>
      <c r="AW759" s="103"/>
      <c r="BI759"/>
    </row>
    <row r="760" spans="38:61" ht="15" x14ac:dyDescent="0.25">
      <c r="AL760" s="93" t="s">
        <v>2521</v>
      </c>
      <c r="AM760" s="92" t="s">
        <v>2522</v>
      </c>
      <c r="AW760" s="103"/>
      <c r="BI760"/>
    </row>
    <row r="761" spans="38:61" ht="15" x14ac:dyDescent="0.25">
      <c r="AL761" s="93" t="s">
        <v>2523</v>
      </c>
      <c r="AM761" s="92" t="s">
        <v>2524</v>
      </c>
      <c r="AW761" s="103"/>
      <c r="BI761"/>
    </row>
    <row r="762" spans="38:61" ht="15" x14ac:dyDescent="0.25">
      <c r="AL762" s="93" t="s">
        <v>2525</v>
      </c>
      <c r="AM762" s="92" t="s">
        <v>2526</v>
      </c>
      <c r="AW762" s="103"/>
      <c r="BI762"/>
    </row>
    <row r="763" spans="38:61" ht="15" x14ac:dyDescent="0.25">
      <c r="AL763" s="93" t="s">
        <v>2527</v>
      </c>
      <c r="AM763" s="92" t="s">
        <v>2528</v>
      </c>
      <c r="AW763" s="103"/>
      <c r="BI763"/>
    </row>
    <row r="764" spans="38:61" ht="15" x14ac:dyDescent="0.25">
      <c r="AL764" s="93" t="s">
        <v>2529</v>
      </c>
      <c r="AM764" s="92" t="s">
        <v>2530</v>
      </c>
      <c r="AW764" s="103"/>
      <c r="BI764"/>
    </row>
    <row r="765" spans="38:61" ht="15" x14ac:dyDescent="0.25">
      <c r="AL765" s="93" t="s">
        <v>2531</v>
      </c>
      <c r="AM765" s="92" t="s">
        <v>2532</v>
      </c>
      <c r="AW765" s="103"/>
      <c r="BI765"/>
    </row>
    <row r="766" spans="38:61" ht="15" x14ac:dyDescent="0.25">
      <c r="AL766" s="93" t="s">
        <v>2533</v>
      </c>
      <c r="AM766" s="92" t="s">
        <v>2534</v>
      </c>
      <c r="AW766" s="103"/>
      <c r="BI766"/>
    </row>
    <row r="767" spans="38:61" ht="15" x14ac:dyDescent="0.25">
      <c r="AL767" s="93" t="s">
        <v>2535</v>
      </c>
      <c r="AM767" s="92" t="s">
        <v>2536</v>
      </c>
      <c r="AW767" s="103"/>
      <c r="BI767"/>
    </row>
    <row r="768" spans="38:61" ht="15" x14ac:dyDescent="0.25">
      <c r="AL768" s="93" t="s">
        <v>2537</v>
      </c>
      <c r="AM768" s="92" t="s">
        <v>2538</v>
      </c>
      <c r="AW768" s="103"/>
      <c r="BI768"/>
    </row>
    <row r="769" spans="38:61" ht="15" x14ac:dyDescent="0.25">
      <c r="AL769" s="93" t="s">
        <v>2539</v>
      </c>
      <c r="AM769" s="92" t="s">
        <v>2540</v>
      </c>
      <c r="AW769" s="103"/>
      <c r="BI769"/>
    </row>
    <row r="770" spans="38:61" ht="15" x14ac:dyDescent="0.25">
      <c r="AL770" s="93" t="s">
        <v>2541</v>
      </c>
      <c r="AM770" s="92" t="s">
        <v>2542</v>
      </c>
      <c r="AW770" s="103"/>
      <c r="BI770"/>
    </row>
    <row r="771" spans="38:61" ht="15" x14ac:dyDescent="0.25">
      <c r="AL771" s="93" t="s">
        <v>2543</v>
      </c>
      <c r="AM771" s="92" t="s">
        <v>2544</v>
      </c>
      <c r="AW771" s="103"/>
      <c r="BI771"/>
    </row>
    <row r="772" spans="38:61" ht="15" x14ac:dyDescent="0.25">
      <c r="AL772" s="93" t="s">
        <v>2545</v>
      </c>
      <c r="AM772" s="92" t="s">
        <v>2546</v>
      </c>
      <c r="AW772" s="103"/>
      <c r="BI772"/>
    </row>
    <row r="773" spans="38:61" ht="15" x14ac:dyDescent="0.25">
      <c r="AL773" s="93" t="s">
        <v>2547</v>
      </c>
      <c r="AM773" s="92" t="s">
        <v>2548</v>
      </c>
      <c r="AW773" s="103"/>
      <c r="BI773"/>
    </row>
    <row r="774" spans="38:61" ht="15" x14ac:dyDescent="0.25">
      <c r="AL774" s="93" t="s">
        <v>2549</v>
      </c>
      <c r="AM774" s="92" t="s">
        <v>2550</v>
      </c>
      <c r="AW774" s="103"/>
      <c r="BI774"/>
    </row>
    <row r="775" spans="38:61" ht="15" x14ac:dyDescent="0.25">
      <c r="AL775" s="93" t="s">
        <v>2551</v>
      </c>
      <c r="AM775" s="92" t="s">
        <v>2552</v>
      </c>
      <c r="AW775" s="103"/>
      <c r="BI775"/>
    </row>
    <row r="776" spans="38:61" ht="15" x14ac:dyDescent="0.25">
      <c r="AL776" s="93" t="s">
        <v>2553</v>
      </c>
      <c r="AM776" s="92" t="s">
        <v>2554</v>
      </c>
      <c r="AW776" s="103"/>
      <c r="BI776"/>
    </row>
    <row r="777" spans="38:61" ht="15" x14ac:dyDescent="0.25">
      <c r="AL777" s="93" t="s">
        <v>2555</v>
      </c>
      <c r="AM777" s="92" t="s">
        <v>2556</v>
      </c>
      <c r="AW777" s="103"/>
      <c r="BI777"/>
    </row>
    <row r="778" spans="38:61" ht="15" x14ac:dyDescent="0.25">
      <c r="AL778" s="93" t="s">
        <v>2557</v>
      </c>
      <c r="AM778" s="92" t="s">
        <v>2558</v>
      </c>
      <c r="AW778" s="103"/>
      <c r="BI778"/>
    </row>
    <row r="779" spans="38:61" ht="15" x14ac:dyDescent="0.25">
      <c r="AL779" s="93" t="s">
        <v>2559</v>
      </c>
      <c r="AM779" s="92" t="s">
        <v>2560</v>
      </c>
      <c r="AW779" s="103"/>
      <c r="BI779"/>
    </row>
    <row r="780" spans="38:61" ht="15" x14ac:dyDescent="0.25">
      <c r="AL780" s="93" t="s">
        <v>2561</v>
      </c>
      <c r="AM780" s="92" t="s">
        <v>2562</v>
      </c>
      <c r="AW780" s="103"/>
      <c r="BI780"/>
    </row>
    <row r="781" spans="38:61" ht="15" x14ac:dyDescent="0.25">
      <c r="AL781" s="93" t="s">
        <v>2563</v>
      </c>
      <c r="AM781" s="92" t="s">
        <v>2564</v>
      </c>
      <c r="AW781" s="103"/>
      <c r="BI781"/>
    </row>
    <row r="782" spans="38:61" ht="15" x14ac:dyDescent="0.25">
      <c r="AL782" s="93" t="s">
        <v>2565</v>
      </c>
      <c r="AM782" s="92" t="s">
        <v>2566</v>
      </c>
      <c r="AW782" s="103"/>
      <c r="BI782"/>
    </row>
    <row r="783" spans="38:61" ht="15" x14ac:dyDescent="0.25">
      <c r="AL783" s="93" t="s">
        <v>2567</v>
      </c>
      <c r="AM783" s="92" t="s">
        <v>2568</v>
      </c>
      <c r="AW783" s="103"/>
      <c r="BI783"/>
    </row>
    <row r="784" spans="38:61" ht="15" x14ac:dyDescent="0.25">
      <c r="AL784" s="93" t="s">
        <v>2569</v>
      </c>
      <c r="AM784" s="92" t="s">
        <v>2570</v>
      </c>
      <c r="AW784" s="103"/>
      <c r="BI784"/>
    </row>
    <row r="785" spans="38:61" ht="15" x14ac:dyDescent="0.25">
      <c r="AL785" s="93" t="s">
        <v>2571</v>
      </c>
      <c r="AM785" s="92" t="s">
        <v>2572</v>
      </c>
      <c r="AW785" s="103"/>
      <c r="BI785"/>
    </row>
    <row r="786" spans="38:61" ht="15" x14ac:dyDescent="0.25">
      <c r="AL786" s="93" t="s">
        <v>2573</v>
      </c>
      <c r="AM786" s="92" t="s">
        <v>2574</v>
      </c>
      <c r="AW786" s="103"/>
      <c r="BI786"/>
    </row>
    <row r="787" spans="38:61" ht="15" x14ac:dyDescent="0.25">
      <c r="AL787" s="93" t="s">
        <v>2575</v>
      </c>
      <c r="AM787" s="92" t="s">
        <v>2576</v>
      </c>
      <c r="AW787" s="103"/>
      <c r="BI787"/>
    </row>
    <row r="788" spans="38:61" ht="15" x14ac:dyDescent="0.25">
      <c r="AL788" s="93" t="s">
        <v>2577</v>
      </c>
      <c r="AM788" s="92" t="s">
        <v>2578</v>
      </c>
      <c r="AW788" s="103"/>
      <c r="BI788"/>
    </row>
    <row r="789" spans="38:61" ht="15" x14ac:dyDescent="0.25">
      <c r="AL789" s="93" t="s">
        <v>2579</v>
      </c>
      <c r="AM789" s="92" t="s">
        <v>2580</v>
      </c>
      <c r="AW789" s="103"/>
      <c r="BI789"/>
    </row>
    <row r="790" spans="38:61" ht="15" x14ac:dyDescent="0.25">
      <c r="AL790" s="93" t="s">
        <v>2581</v>
      </c>
      <c r="AM790" s="92" t="s">
        <v>2582</v>
      </c>
      <c r="AW790" s="103"/>
      <c r="BI790"/>
    </row>
    <row r="791" spans="38:61" ht="15" x14ac:dyDescent="0.25">
      <c r="AL791" s="93" t="s">
        <v>2583</v>
      </c>
      <c r="AM791" s="92" t="s">
        <v>2584</v>
      </c>
      <c r="AW791" s="103"/>
      <c r="BI791"/>
    </row>
    <row r="792" spans="38:61" ht="15" x14ac:dyDescent="0.25">
      <c r="AL792" s="93" t="s">
        <v>2585</v>
      </c>
      <c r="AM792" s="92" t="s">
        <v>2586</v>
      </c>
      <c r="AW792" s="103"/>
      <c r="BI792"/>
    </row>
    <row r="793" spans="38:61" ht="15" x14ac:dyDescent="0.25">
      <c r="AL793" s="93" t="s">
        <v>2587</v>
      </c>
      <c r="AM793" s="92" t="s">
        <v>2588</v>
      </c>
      <c r="AW793" s="103"/>
      <c r="BI793"/>
    </row>
    <row r="794" spans="38:61" ht="15" x14ac:dyDescent="0.25">
      <c r="AL794" s="93" t="s">
        <v>2589</v>
      </c>
      <c r="AM794" s="92" t="s">
        <v>2590</v>
      </c>
      <c r="AW794" s="103"/>
      <c r="BI794"/>
    </row>
    <row r="795" spans="38:61" ht="15" x14ac:dyDescent="0.25">
      <c r="AL795" s="93" t="s">
        <v>2591</v>
      </c>
      <c r="AM795" s="92" t="s">
        <v>2592</v>
      </c>
      <c r="AW795" s="103"/>
      <c r="BI795"/>
    </row>
    <row r="796" spans="38:61" ht="15" x14ac:dyDescent="0.25">
      <c r="AL796" s="93" t="s">
        <v>2593</v>
      </c>
      <c r="AM796" s="92" t="s">
        <v>2594</v>
      </c>
      <c r="AW796" s="103"/>
      <c r="BI796"/>
    </row>
    <row r="797" spans="38:61" ht="15" x14ac:dyDescent="0.25">
      <c r="AL797" s="93" t="s">
        <v>2595</v>
      </c>
      <c r="AM797" s="92" t="s">
        <v>2596</v>
      </c>
      <c r="AW797" s="103"/>
      <c r="BI797"/>
    </row>
    <row r="798" spans="38:61" ht="15" x14ac:dyDescent="0.25">
      <c r="AL798" s="93" t="s">
        <v>2597</v>
      </c>
      <c r="AM798" s="92" t="s">
        <v>2598</v>
      </c>
      <c r="AW798" s="103"/>
      <c r="BI798"/>
    </row>
    <row r="799" spans="38:61" ht="15" x14ac:dyDescent="0.25">
      <c r="AL799" s="93" t="s">
        <v>2599</v>
      </c>
      <c r="AM799" s="92" t="s">
        <v>2600</v>
      </c>
      <c r="AW799" s="103"/>
      <c r="BI799"/>
    </row>
    <row r="800" spans="38:61" ht="15" x14ac:dyDescent="0.25">
      <c r="AL800" s="93" t="s">
        <v>2601</v>
      </c>
      <c r="AM800" s="92" t="s">
        <v>2602</v>
      </c>
      <c r="AW800" s="103"/>
      <c r="BI800"/>
    </row>
    <row r="801" spans="38:61" ht="15" x14ac:dyDescent="0.25">
      <c r="AL801" s="93" t="s">
        <v>2603</v>
      </c>
      <c r="AM801" s="92" t="s">
        <v>2604</v>
      </c>
      <c r="AW801" s="103"/>
      <c r="BI801"/>
    </row>
    <row r="802" spans="38:61" ht="15" x14ac:dyDescent="0.25">
      <c r="AL802" s="93" t="s">
        <v>2605</v>
      </c>
      <c r="AM802" s="92" t="s">
        <v>2606</v>
      </c>
      <c r="AW802" s="103"/>
      <c r="BI802"/>
    </row>
    <row r="803" spans="38:61" ht="15" x14ac:dyDescent="0.25">
      <c r="AL803" s="93" t="s">
        <v>2607</v>
      </c>
      <c r="AM803" s="92" t="s">
        <v>2608</v>
      </c>
      <c r="AW803" s="103"/>
      <c r="BI803"/>
    </row>
    <row r="804" spans="38:61" ht="15" x14ac:dyDescent="0.25">
      <c r="AL804" s="93" t="s">
        <v>2609</v>
      </c>
      <c r="AM804" s="92" t="s">
        <v>2610</v>
      </c>
      <c r="AW804" s="103"/>
      <c r="BI804"/>
    </row>
    <row r="805" spans="38:61" ht="15" x14ac:dyDescent="0.25">
      <c r="AL805" s="93" t="s">
        <v>2611</v>
      </c>
      <c r="AM805" s="92" t="s">
        <v>2612</v>
      </c>
      <c r="AW805" s="103"/>
      <c r="BI805"/>
    </row>
    <row r="806" spans="38:61" ht="15" x14ac:dyDescent="0.25">
      <c r="AL806" s="93" t="s">
        <v>2613</v>
      </c>
      <c r="AM806" s="92" t="s">
        <v>2614</v>
      </c>
      <c r="AW806" s="103"/>
      <c r="BI806"/>
    </row>
    <row r="807" spans="38:61" ht="15" x14ac:dyDescent="0.25">
      <c r="AL807" s="93" t="s">
        <v>2615</v>
      </c>
      <c r="AM807" s="92" t="s">
        <v>2616</v>
      </c>
      <c r="AW807" s="103"/>
      <c r="BI807"/>
    </row>
    <row r="808" spans="38:61" ht="15" x14ac:dyDescent="0.25">
      <c r="AL808" s="93" t="s">
        <v>2617</v>
      </c>
      <c r="AM808" s="92" t="s">
        <v>2618</v>
      </c>
      <c r="AW808" s="103"/>
      <c r="BI808"/>
    </row>
    <row r="809" spans="38:61" ht="15" x14ac:dyDescent="0.25">
      <c r="AL809" s="93" t="s">
        <v>2619</v>
      </c>
      <c r="AM809" s="92" t="s">
        <v>2620</v>
      </c>
      <c r="AW809" s="103"/>
      <c r="BI809"/>
    </row>
    <row r="810" spans="38:61" ht="15" x14ac:dyDescent="0.25">
      <c r="AL810" s="93" t="s">
        <v>2621</v>
      </c>
      <c r="AM810" s="92" t="s">
        <v>2622</v>
      </c>
      <c r="AW810" s="103"/>
      <c r="BI810"/>
    </row>
    <row r="811" spans="38:61" ht="15" x14ac:dyDescent="0.25">
      <c r="AL811" s="93" t="s">
        <v>2623</v>
      </c>
      <c r="AM811" s="92" t="s">
        <v>2624</v>
      </c>
      <c r="AW811" s="103"/>
      <c r="BI811"/>
    </row>
    <row r="812" spans="38:61" ht="15" x14ac:dyDescent="0.25">
      <c r="AL812" s="93" t="s">
        <v>2625</v>
      </c>
      <c r="AM812" s="92" t="s">
        <v>2626</v>
      </c>
      <c r="AW812" s="103"/>
      <c r="BI812"/>
    </row>
    <row r="813" spans="38:61" ht="15" x14ac:dyDescent="0.25">
      <c r="AL813" s="93" t="s">
        <v>2627</v>
      </c>
      <c r="AM813" s="92" t="s">
        <v>2628</v>
      </c>
      <c r="AW813" s="103"/>
      <c r="BI813"/>
    </row>
    <row r="814" spans="38:61" ht="15" x14ac:dyDescent="0.25">
      <c r="AL814" s="93" t="s">
        <v>2629</v>
      </c>
      <c r="AM814" s="92" t="s">
        <v>2630</v>
      </c>
      <c r="AW814" s="103"/>
      <c r="BI814"/>
    </row>
    <row r="815" spans="38:61" ht="15" x14ac:dyDescent="0.25">
      <c r="AL815" s="93" t="s">
        <v>2631</v>
      </c>
      <c r="AM815" s="92" t="s">
        <v>2632</v>
      </c>
      <c r="AW815" s="103"/>
      <c r="BI815"/>
    </row>
    <row r="816" spans="38:61" ht="15" x14ac:dyDescent="0.25">
      <c r="AL816" s="93" t="s">
        <v>2633</v>
      </c>
      <c r="AM816" s="92" t="s">
        <v>2634</v>
      </c>
      <c r="AW816" s="103"/>
      <c r="BI816"/>
    </row>
    <row r="817" spans="38:61" ht="15" x14ac:dyDescent="0.25">
      <c r="AL817" s="93" t="s">
        <v>2635</v>
      </c>
      <c r="AM817" s="92" t="s">
        <v>2636</v>
      </c>
      <c r="AW817" s="103"/>
      <c r="BI817"/>
    </row>
    <row r="818" spans="38:61" ht="15" x14ac:dyDescent="0.25">
      <c r="AL818" s="93" t="s">
        <v>2637</v>
      </c>
      <c r="AM818" s="92" t="s">
        <v>2638</v>
      </c>
      <c r="AW818" s="103"/>
      <c r="BI818"/>
    </row>
    <row r="819" spans="38:61" ht="15" x14ac:dyDescent="0.25">
      <c r="AL819" s="93" t="s">
        <v>2639</v>
      </c>
      <c r="AM819" s="92" t="s">
        <v>2640</v>
      </c>
      <c r="AW819" s="103"/>
      <c r="BI819"/>
    </row>
    <row r="820" spans="38:61" ht="15" x14ac:dyDescent="0.25">
      <c r="AL820" s="93" t="s">
        <v>2641</v>
      </c>
      <c r="AM820" s="92" t="s">
        <v>2642</v>
      </c>
      <c r="AW820" s="103"/>
      <c r="BI820"/>
    </row>
    <row r="821" spans="38:61" ht="15" x14ac:dyDescent="0.25">
      <c r="AL821" s="93" t="s">
        <v>2643</v>
      </c>
      <c r="AM821" s="92" t="s">
        <v>2644</v>
      </c>
      <c r="AW821" s="103"/>
      <c r="BI821"/>
    </row>
    <row r="822" spans="38:61" ht="15" x14ac:dyDescent="0.25">
      <c r="AL822" s="93" t="s">
        <v>2645</v>
      </c>
      <c r="AM822" s="92" t="s">
        <v>2646</v>
      </c>
      <c r="AW822" s="103"/>
      <c r="BI822"/>
    </row>
    <row r="823" spans="38:61" ht="15" x14ac:dyDescent="0.25">
      <c r="AL823" s="93" t="s">
        <v>2647</v>
      </c>
      <c r="AM823" s="92" t="s">
        <v>2648</v>
      </c>
      <c r="AW823" s="103"/>
      <c r="BI823"/>
    </row>
    <row r="824" spans="38:61" ht="15" x14ac:dyDescent="0.25">
      <c r="AL824" s="93" t="s">
        <v>2649</v>
      </c>
      <c r="AM824" s="92" t="s">
        <v>2650</v>
      </c>
      <c r="AW824" s="103"/>
      <c r="BI824"/>
    </row>
    <row r="825" spans="38:61" ht="15" x14ac:dyDescent="0.25">
      <c r="AL825" s="93" t="s">
        <v>2651</v>
      </c>
      <c r="AM825" s="92" t="s">
        <v>2652</v>
      </c>
      <c r="AW825" s="103"/>
      <c r="BI825"/>
    </row>
    <row r="826" spans="38:61" ht="15" x14ac:dyDescent="0.25">
      <c r="AL826" s="93" t="s">
        <v>2653</v>
      </c>
      <c r="AM826" s="92" t="s">
        <v>2654</v>
      </c>
      <c r="AW826" s="103"/>
      <c r="BI826"/>
    </row>
    <row r="827" spans="38:61" ht="15" x14ac:dyDescent="0.25">
      <c r="AL827" s="93" t="s">
        <v>2655</v>
      </c>
      <c r="AM827" s="92" t="s">
        <v>2656</v>
      </c>
      <c r="AW827" s="103"/>
      <c r="BI827"/>
    </row>
    <row r="828" spans="38:61" ht="15" x14ac:dyDescent="0.25">
      <c r="AL828" s="93" t="s">
        <v>2657</v>
      </c>
      <c r="AM828" s="92" t="s">
        <v>2658</v>
      </c>
      <c r="AW828" s="103"/>
      <c r="BI828"/>
    </row>
    <row r="829" spans="38:61" ht="15" x14ac:dyDescent="0.25">
      <c r="AL829" s="93" t="s">
        <v>2659</v>
      </c>
      <c r="AM829" s="92" t="s">
        <v>2660</v>
      </c>
      <c r="AW829" s="103"/>
      <c r="BI829"/>
    </row>
    <row r="830" spans="38:61" ht="15" x14ac:dyDescent="0.25">
      <c r="AL830" s="93" t="s">
        <v>2661</v>
      </c>
      <c r="AM830" s="92" t="s">
        <v>2662</v>
      </c>
      <c r="AW830" s="103"/>
      <c r="BI830"/>
    </row>
    <row r="831" spans="38:61" ht="15" x14ac:dyDescent="0.25">
      <c r="AL831" s="93" t="s">
        <v>2663</v>
      </c>
      <c r="AM831" s="92" t="s">
        <v>2664</v>
      </c>
      <c r="AW831" s="103"/>
      <c r="BI831"/>
    </row>
    <row r="832" spans="38:61" ht="15" x14ac:dyDescent="0.25">
      <c r="AL832" s="93" t="s">
        <v>2665</v>
      </c>
      <c r="AM832" s="92" t="s">
        <v>2666</v>
      </c>
      <c r="AW832" s="103"/>
      <c r="BI832"/>
    </row>
    <row r="833" spans="38:61" ht="15" x14ac:dyDescent="0.25">
      <c r="AL833" s="93" t="s">
        <v>2667</v>
      </c>
      <c r="AM833" s="92" t="s">
        <v>2668</v>
      </c>
      <c r="AW833" s="103"/>
      <c r="BI833"/>
    </row>
    <row r="834" spans="38:61" ht="15" x14ac:dyDescent="0.25">
      <c r="AL834" s="93" t="s">
        <v>2669</v>
      </c>
      <c r="AM834" s="92" t="s">
        <v>2670</v>
      </c>
      <c r="AW834" s="103"/>
      <c r="BI834"/>
    </row>
    <row r="835" spans="38:61" ht="15" x14ac:dyDescent="0.25">
      <c r="AL835" s="93" t="s">
        <v>2671</v>
      </c>
      <c r="AM835" s="92" t="s">
        <v>2672</v>
      </c>
      <c r="AW835" s="103"/>
      <c r="BI835"/>
    </row>
    <row r="836" spans="38:61" ht="15" x14ac:dyDescent="0.25">
      <c r="AL836" s="93" t="s">
        <v>2673</v>
      </c>
      <c r="AM836" s="92" t="s">
        <v>2674</v>
      </c>
      <c r="AW836" s="103"/>
      <c r="BI836"/>
    </row>
    <row r="837" spans="38:61" ht="15" x14ac:dyDescent="0.25">
      <c r="AL837" s="93" t="s">
        <v>2675</v>
      </c>
      <c r="AM837" s="92" t="s">
        <v>2676</v>
      </c>
      <c r="AW837" s="103"/>
      <c r="BI837"/>
    </row>
    <row r="838" spans="38:61" ht="15" x14ac:dyDescent="0.25">
      <c r="AL838" s="93" t="s">
        <v>2677</v>
      </c>
      <c r="AM838" s="92" t="s">
        <v>2678</v>
      </c>
      <c r="AW838" s="103"/>
      <c r="BI838"/>
    </row>
    <row r="839" spans="38:61" ht="15" x14ac:dyDescent="0.25">
      <c r="AL839" s="93" t="s">
        <v>2679</v>
      </c>
      <c r="AM839" s="92" t="s">
        <v>2680</v>
      </c>
      <c r="AW839" s="103"/>
      <c r="BI839"/>
    </row>
    <row r="840" spans="38:61" ht="15" x14ac:dyDescent="0.25">
      <c r="AL840" s="93" t="s">
        <v>2681</v>
      </c>
      <c r="AM840" s="92" t="s">
        <v>2682</v>
      </c>
      <c r="AW840" s="103"/>
      <c r="BI840"/>
    </row>
    <row r="841" spans="38:61" ht="15" x14ac:dyDescent="0.25">
      <c r="AL841" s="93" t="s">
        <v>2683</v>
      </c>
      <c r="AM841" s="92" t="s">
        <v>2684</v>
      </c>
      <c r="AW841" s="103"/>
      <c r="BI841"/>
    </row>
    <row r="842" spans="38:61" ht="15" x14ac:dyDescent="0.25">
      <c r="AL842" s="93" t="s">
        <v>2685</v>
      </c>
      <c r="AM842" s="92" t="s">
        <v>2686</v>
      </c>
      <c r="AW842" s="103"/>
      <c r="BI842"/>
    </row>
    <row r="843" spans="38:61" ht="15" x14ac:dyDescent="0.25">
      <c r="AL843" s="93" t="s">
        <v>2687</v>
      </c>
      <c r="AM843" s="92" t="s">
        <v>2688</v>
      </c>
      <c r="AW843" s="103"/>
      <c r="BI843"/>
    </row>
    <row r="844" spans="38:61" ht="15" x14ac:dyDescent="0.25">
      <c r="AL844" s="93" t="s">
        <v>2689</v>
      </c>
      <c r="AM844" s="92" t="s">
        <v>2690</v>
      </c>
      <c r="AW844" s="103"/>
      <c r="BI844"/>
    </row>
    <row r="845" spans="38:61" ht="15" x14ac:dyDescent="0.25">
      <c r="AL845" s="93" t="s">
        <v>2691</v>
      </c>
      <c r="AM845" s="92" t="s">
        <v>2692</v>
      </c>
      <c r="AW845" s="103"/>
      <c r="BI845"/>
    </row>
    <row r="846" spans="38:61" ht="15" x14ac:dyDescent="0.25">
      <c r="AL846" s="93" t="s">
        <v>2693</v>
      </c>
      <c r="AM846" s="92" t="s">
        <v>2694</v>
      </c>
      <c r="AW846" s="103"/>
      <c r="BI846"/>
    </row>
    <row r="847" spans="38:61" ht="15" x14ac:dyDescent="0.25">
      <c r="AL847" s="93" t="s">
        <v>2695</v>
      </c>
      <c r="AM847" s="92" t="s">
        <v>2696</v>
      </c>
      <c r="AW847" s="103"/>
      <c r="BI847"/>
    </row>
    <row r="848" spans="38:61" ht="15" x14ac:dyDescent="0.25">
      <c r="AL848" s="93" t="s">
        <v>2697</v>
      </c>
      <c r="AM848" s="92" t="s">
        <v>2698</v>
      </c>
      <c r="AW848" s="103"/>
      <c r="BI848"/>
    </row>
    <row r="849" spans="38:61" ht="15" x14ac:dyDescent="0.25">
      <c r="AL849" s="93" t="s">
        <v>2699</v>
      </c>
      <c r="AM849" s="92" t="s">
        <v>2700</v>
      </c>
      <c r="AW849" s="103"/>
      <c r="BI849"/>
    </row>
    <row r="850" spans="38:61" ht="15" x14ac:dyDescent="0.25">
      <c r="AL850" s="93" t="s">
        <v>2701</v>
      </c>
      <c r="AM850" s="92" t="s">
        <v>2702</v>
      </c>
      <c r="AW850" s="103"/>
      <c r="BI850"/>
    </row>
    <row r="851" spans="38:61" ht="15" x14ac:dyDescent="0.25">
      <c r="AL851" s="93" t="s">
        <v>2703</v>
      </c>
      <c r="AM851" s="92" t="s">
        <v>2704</v>
      </c>
      <c r="AW851" s="103"/>
      <c r="BI851"/>
    </row>
    <row r="852" spans="38:61" ht="15" x14ac:dyDescent="0.25">
      <c r="AL852" s="93" t="s">
        <v>2705</v>
      </c>
      <c r="AM852" s="92" t="s">
        <v>2706</v>
      </c>
      <c r="AW852" s="103"/>
      <c r="BI852"/>
    </row>
    <row r="853" spans="38:61" ht="15" x14ac:dyDescent="0.25">
      <c r="AL853" s="93" t="s">
        <v>2707</v>
      </c>
      <c r="AM853" s="92" t="s">
        <v>2708</v>
      </c>
      <c r="AW853" s="103"/>
      <c r="BI853"/>
    </row>
    <row r="854" spans="38:61" ht="15" x14ac:dyDescent="0.25">
      <c r="AL854" s="93" t="s">
        <v>2709</v>
      </c>
      <c r="AM854" s="92" t="s">
        <v>2710</v>
      </c>
      <c r="AW854" s="103"/>
      <c r="BI854"/>
    </row>
    <row r="855" spans="38:61" ht="15" x14ac:dyDescent="0.25">
      <c r="AL855" s="93" t="s">
        <v>2711</v>
      </c>
      <c r="AM855" s="92" t="s">
        <v>2712</v>
      </c>
      <c r="AW855" s="103"/>
      <c r="BI855"/>
    </row>
    <row r="856" spans="38:61" ht="15" x14ac:dyDescent="0.25">
      <c r="AL856" s="93" t="s">
        <v>2713</v>
      </c>
      <c r="AM856" s="92" t="s">
        <v>2714</v>
      </c>
      <c r="AW856" s="103"/>
      <c r="BI856"/>
    </row>
    <row r="857" spans="38:61" ht="15" x14ac:dyDescent="0.25">
      <c r="AL857" s="93" t="s">
        <v>2715</v>
      </c>
      <c r="AM857" s="92" t="s">
        <v>2716</v>
      </c>
      <c r="AW857" s="103"/>
      <c r="BI857"/>
    </row>
    <row r="858" spans="38:61" ht="15" x14ac:dyDescent="0.25">
      <c r="AL858" s="93" t="s">
        <v>2717</v>
      </c>
      <c r="AM858" s="92" t="s">
        <v>2718</v>
      </c>
      <c r="AW858" s="103"/>
      <c r="BI858"/>
    </row>
    <row r="859" spans="38:61" ht="15" x14ac:dyDescent="0.25">
      <c r="AL859" s="93" t="s">
        <v>2719</v>
      </c>
      <c r="AM859" s="92" t="s">
        <v>2720</v>
      </c>
      <c r="AW859" s="103"/>
      <c r="BI859"/>
    </row>
    <row r="860" spans="38:61" ht="15" x14ac:dyDescent="0.25">
      <c r="AL860" s="93" t="s">
        <v>2721</v>
      </c>
      <c r="AM860" s="92" t="s">
        <v>2722</v>
      </c>
      <c r="AW860" s="103"/>
      <c r="BI860"/>
    </row>
    <row r="861" spans="38:61" ht="15" x14ac:dyDescent="0.25">
      <c r="AL861" s="93" t="s">
        <v>2723</v>
      </c>
      <c r="AM861" s="92" t="s">
        <v>2724</v>
      </c>
      <c r="AW861" s="103"/>
      <c r="BI861"/>
    </row>
    <row r="862" spans="38:61" ht="15" x14ac:dyDescent="0.25">
      <c r="AL862" s="93" t="s">
        <v>2725</v>
      </c>
      <c r="AM862" s="92" t="s">
        <v>2726</v>
      </c>
      <c r="AW862" s="103"/>
      <c r="BI862"/>
    </row>
    <row r="863" spans="38:61" ht="15" x14ac:dyDescent="0.25">
      <c r="AL863" s="93" t="s">
        <v>2727</v>
      </c>
      <c r="AM863" s="92" t="s">
        <v>2728</v>
      </c>
      <c r="AW863" s="103"/>
      <c r="BI863"/>
    </row>
    <row r="864" spans="38:61" ht="15" x14ac:dyDescent="0.25">
      <c r="AL864" s="93" t="s">
        <v>2729</v>
      </c>
      <c r="AM864" s="92" t="s">
        <v>2730</v>
      </c>
      <c r="AW864" s="103"/>
      <c r="BI864"/>
    </row>
    <row r="865" spans="38:61" ht="15" x14ac:dyDescent="0.25">
      <c r="AL865" s="93" t="s">
        <v>2731</v>
      </c>
      <c r="AM865" s="92" t="s">
        <v>2732</v>
      </c>
      <c r="AW865" s="103"/>
      <c r="BI865"/>
    </row>
    <row r="866" spans="38:61" ht="15" x14ac:dyDescent="0.25">
      <c r="AL866" s="93" t="s">
        <v>2733</v>
      </c>
      <c r="AM866" s="92" t="s">
        <v>2734</v>
      </c>
      <c r="AW866" s="103"/>
      <c r="BI866"/>
    </row>
    <row r="867" spans="38:61" ht="15" x14ac:dyDescent="0.25">
      <c r="AL867" s="93" t="s">
        <v>2735</v>
      </c>
      <c r="AM867" s="92" t="s">
        <v>2736</v>
      </c>
      <c r="AW867" s="103"/>
      <c r="BI867"/>
    </row>
    <row r="868" spans="38:61" ht="15" x14ac:dyDescent="0.25">
      <c r="AL868" s="93" t="s">
        <v>2737</v>
      </c>
      <c r="AM868" s="92" t="s">
        <v>2738</v>
      </c>
      <c r="AW868" s="103"/>
      <c r="BI868"/>
    </row>
    <row r="869" spans="38:61" ht="15" x14ac:dyDescent="0.25">
      <c r="AL869" s="93" t="s">
        <v>2739</v>
      </c>
      <c r="AM869" s="92" t="s">
        <v>2740</v>
      </c>
      <c r="AW869" s="103"/>
      <c r="BI869"/>
    </row>
    <row r="870" spans="38:61" ht="15" x14ac:dyDescent="0.25">
      <c r="AL870" s="93" t="s">
        <v>2741</v>
      </c>
      <c r="AM870" s="92" t="s">
        <v>2742</v>
      </c>
      <c r="AW870" s="103"/>
      <c r="BI870"/>
    </row>
    <row r="871" spans="38:61" ht="15" x14ac:dyDescent="0.25">
      <c r="AL871" s="93" t="s">
        <v>2743</v>
      </c>
      <c r="AM871" s="92" t="s">
        <v>2744</v>
      </c>
      <c r="AW871" s="103"/>
      <c r="BI871"/>
    </row>
    <row r="872" spans="38:61" ht="15" x14ac:dyDescent="0.25">
      <c r="AL872" s="93" t="s">
        <v>2745</v>
      </c>
      <c r="AM872" s="92" t="s">
        <v>2746</v>
      </c>
      <c r="AW872" s="103"/>
      <c r="BI872"/>
    </row>
    <row r="873" spans="38:61" ht="15" x14ac:dyDescent="0.25">
      <c r="AL873" s="93" t="s">
        <v>2747</v>
      </c>
      <c r="AM873" s="92" t="s">
        <v>2748</v>
      </c>
      <c r="AW873" s="103"/>
      <c r="BI873"/>
    </row>
    <row r="874" spans="38:61" ht="15" x14ac:dyDescent="0.25">
      <c r="AL874" s="93" t="s">
        <v>2749</v>
      </c>
      <c r="AM874" s="92" t="s">
        <v>2750</v>
      </c>
      <c r="AW874" s="103"/>
      <c r="BI874"/>
    </row>
    <row r="875" spans="38:61" ht="15" x14ac:dyDescent="0.25">
      <c r="AL875" s="93" t="s">
        <v>2751</v>
      </c>
      <c r="AM875" s="92" t="s">
        <v>2752</v>
      </c>
      <c r="AW875" s="103"/>
      <c r="BI875"/>
    </row>
    <row r="876" spans="38:61" ht="15" x14ac:dyDescent="0.25">
      <c r="AL876" s="93" t="s">
        <v>2753</v>
      </c>
      <c r="AM876" s="92" t="s">
        <v>2754</v>
      </c>
      <c r="AW876" s="103"/>
      <c r="BI876"/>
    </row>
    <row r="877" spans="38:61" ht="15" x14ac:dyDescent="0.25">
      <c r="AL877" s="93" t="s">
        <v>2755</v>
      </c>
      <c r="AM877" s="92" t="s">
        <v>2756</v>
      </c>
      <c r="AW877" s="103"/>
      <c r="BI877"/>
    </row>
    <row r="878" spans="38:61" ht="15" x14ac:dyDescent="0.25">
      <c r="AL878" s="93" t="s">
        <v>2757</v>
      </c>
      <c r="AM878" s="92" t="s">
        <v>2758</v>
      </c>
      <c r="AW878" s="103"/>
      <c r="BI878"/>
    </row>
    <row r="879" spans="38:61" ht="15" x14ac:dyDescent="0.25">
      <c r="AL879" s="93" t="s">
        <v>2759</v>
      </c>
      <c r="AM879" s="92" t="s">
        <v>2760</v>
      </c>
      <c r="AW879" s="103"/>
      <c r="BI879"/>
    </row>
    <row r="880" spans="38:61" ht="15" x14ac:dyDescent="0.25">
      <c r="AL880" s="93" t="s">
        <v>2761</v>
      </c>
      <c r="AM880" s="92" t="s">
        <v>2762</v>
      </c>
      <c r="AW880" s="103"/>
      <c r="BI880"/>
    </row>
    <row r="881" spans="38:61" ht="15" x14ac:dyDescent="0.25">
      <c r="AL881" s="93" t="s">
        <v>2763</v>
      </c>
      <c r="AM881" s="92" t="s">
        <v>2764</v>
      </c>
      <c r="AW881" s="103"/>
      <c r="BI881"/>
    </row>
    <row r="882" spans="38:61" ht="15" x14ac:dyDescent="0.25">
      <c r="AL882" s="93" t="s">
        <v>2765</v>
      </c>
      <c r="AM882" s="92" t="s">
        <v>2766</v>
      </c>
      <c r="AW882" s="103"/>
      <c r="BI882"/>
    </row>
    <row r="883" spans="38:61" ht="15" x14ac:dyDescent="0.25">
      <c r="AL883" s="93" t="s">
        <v>2767</v>
      </c>
      <c r="AM883" s="92" t="s">
        <v>2768</v>
      </c>
      <c r="AW883" s="103"/>
      <c r="BI883"/>
    </row>
    <row r="884" spans="38:61" ht="15" x14ac:dyDescent="0.25">
      <c r="AL884" s="93" t="s">
        <v>2769</v>
      </c>
      <c r="AM884" s="92" t="s">
        <v>2770</v>
      </c>
      <c r="AW884" s="103"/>
      <c r="BI884"/>
    </row>
    <row r="885" spans="38:61" ht="15" x14ac:dyDescent="0.25">
      <c r="AL885" s="93" t="s">
        <v>2771</v>
      </c>
      <c r="AM885" s="92" t="s">
        <v>2772</v>
      </c>
      <c r="AW885" s="103"/>
      <c r="BI885"/>
    </row>
    <row r="886" spans="38:61" ht="15" x14ac:dyDescent="0.25">
      <c r="AL886" s="93" t="s">
        <v>2773</v>
      </c>
      <c r="AM886" s="92" t="s">
        <v>2774</v>
      </c>
      <c r="AW886" s="103"/>
      <c r="BI886"/>
    </row>
    <row r="887" spans="38:61" ht="15" x14ac:dyDescent="0.25">
      <c r="AL887" s="93" t="s">
        <v>2775</v>
      </c>
      <c r="AM887" s="92" t="s">
        <v>2776</v>
      </c>
      <c r="AW887" s="103"/>
      <c r="BI887"/>
    </row>
    <row r="888" spans="38:61" ht="15" x14ac:dyDescent="0.25">
      <c r="AL888" s="93" t="s">
        <v>2777</v>
      </c>
      <c r="AM888" s="92" t="s">
        <v>2778</v>
      </c>
      <c r="AW888" s="103"/>
      <c r="BI888"/>
    </row>
    <row r="889" spans="38:61" ht="15" x14ac:dyDescent="0.25">
      <c r="AL889" s="93" t="s">
        <v>2779</v>
      </c>
      <c r="AM889" s="92" t="s">
        <v>2780</v>
      </c>
      <c r="AW889" s="103"/>
      <c r="BI889"/>
    </row>
    <row r="890" spans="38:61" ht="15" x14ac:dyDescent="0.25">
      <c r="AL890" s="93" t="s">
        <v>2781</v>
      </c>
      <c r="AM890" s="92" t="s">
        <v>2782</v>
      </c>
      <c r="AW890" s="103"/>
      <c r="BI890"/>
    </row>
    <row r="891" spans="38:61" ht="15" x14ac:dyDescent="0.25">
      <c r="AL891" s="93" t="s">
        <v>2783</v>
      </c>
      <c r="AM891" s="92" t="s">
        <v>2784</v>
      </c>
      <c r="AW891" s="103"/>
      <c r="BI891"/>
    </row>
    <row r="892" spans="38:61" ht="15" x14ac:dyDescent="0.25">
      <c r="AL892" s="93" t="s">
        <v>2785</v>
      </c>
      <c r="AM892" s="92" t="s">
        <v>2786</v>
      </c>
      <c r="AW892" s="103"/>
      <c r="BI892"/>
    </row>
    <row r="893" spans="38:61" ht="15" x14ac:dyDescent="0.25">
      <c r="AL893" s="93" t="s">
        <v>2787</v>
      </c>
      <c r="AM893" s="92" t="s">
        <v>2788</v>
      </c>
      <c r="AW893" s="103"/>
      <c r="BI893"/>
    </row>
    <row r="894" spans="38:61" ht="15" x14ac:dyDescent="0.25">
      <c r="AL894" s="93" t="s">
        <v>2789</v>
      </c>
      <c r="AM894" s="92" t="s">
        <v>2790</v>
      </c>
      <c r="AW894" s="103"/>
      <c r="BI894"/>
    </row>
    <row r="895" spans="38:61" ht="15" x14ac:dyDescent="0.25">
      <c r="AL895" s="93" t="s">
        <v>2791</v>
      </c>
      <c r="AM895" s="92" t="s">
        <v>2792</v>
      </c>
      <c r="AW895" s="103"/>
      <c r="BI895"/>
    </row>
    <row r="896" spans="38:61" ht="15" x14ac:dyDescent="0.25">
      <c r="AL896" s="93" t="s">
        <v>2793</v>
      </c>
      <c r="AM896" s="92" t="s">
        <v>2794</v>
      </c>
      <c r="AW896" s="103"/>
      <c r="BI896"/>
    </row>
    <row r="897" spans="38:61" ht="15" x14ac:dyDescent="0.25">
      <c r="AL897" s="93" t="s">
        <v>2795</v>
      </c>
      <c r="AM897" s="92" t="s">
        <v>2796</v>
      </c>
      <c r="AW897" s="103"/>
      <c r="BI897"/>
    </row>
    <row r="898" spans="38:61" ht="15" x14ac:dyDescent="0.25">
      <c r="AL898" s="93" t="s">
        <v>2797</v>
      </c>
      <c r="AM898" s="92" t="s">
        <v>2798</v>
      </c>
      <c r="AW898" s="103"/>
      <c r="BI898"/>
    </row>
    <row r="899" spans="38:61" ht="15" x14ac:dyDescent="0.25">
      <c r="AL899" s="93" t="s">
        <v>2799</v>
      </c>
      <c r="AM899" s="92" t="s">
        <v>2800</v>
      </c>
      <c r="AW899" s="103"/>
      <c r="BI899"/>
    </row>
    <row r="900" spans="38:61" ht="15" x14ac:dyDescent="0.25">
      <c r="AL900" s="93" t="s">
        <v>2801</v>
      </c>
      <c r="AM900" s="92" t="s">
        <v>2802</v>
      </c>
      <c r="AW900" s="103"/>
      <c r="BI900"/>
    </row>
    <row r="901" spans="38:61" ht="15" x14ac:dyDescent="0.25">
      <c r="AL901" s="93" t="s">
        <v>2803</v>
      </c>
      <c r="AM901" s="92" t="s">
        <v>2804</v>
      </c>
      <c r="AW901" s="103"/>
      <c r="BI901"/>
    </row>
    <row r="902" spans="38:61" ht="15" x14ac:dyDescent="0.25">
      <c r="AL902" s="93" t="s">
        <v>2805</v>
      </c>
      <c r="AM902" s="92" t="s">
        <v>2806</v>
      </c>
      <c r="AW902" s="103"/>
      <c r="BI902"/>
    </row>
    <row r="903" spans="38:61" ht="15" x14ac:dyDescent="0.25">
      <c r="AL903" s="93" t="s">
        <v>2807</v>
      </c>
      <c r="AM903" s="92" t="s">
        <v>2808</v>
      </c>
      <c r="AW903" s="103"/>
      <c r="BI903"/>
    </row>
    <row r="904" spans="38:61" ht="15" x14ac:dyDescent="0.25">
      <c r="AL904" s="93" t="s">
        <v>2809</v>
      </c>
      <c r="AM904" s="92" t="s">
        <v>2810</v>
      </c>
      <c r="AW904" s="103"/>
      <c r="BI904"/>
    </row>
    <row r="905" spans="38:61" ht="15" x14ac:dyDescent="0.25">
      <c r="AL905" s="93" t="s">
        <v>2811</v>
      </c>
      <c r="AM905" s="92" t="s">
        <v>2812</v>
      </c>
      <c r="AW905" s="103"/>
      <c r="BI905"/>
    </row>
    <row r="906" spans="38:61" ht="15" x14ac:dyDescent="0.25">
      <c r="AL906" s="93" t="s">
        <v>2813</v>
      </c>
      <c r="AM906" s="92" t="s">
        <v>2814</v>
      </c>
      <c r="AW906" s="103"/>
      <c r="BI906"/>
    </row>
    <row r="907" spans="38:61" ht="15" x14ac:dyDescent="0.25">
      <c r="AL907" s="93" t="s">
        <v>2815</v>
      </c>
      <c r="AM907" s="92" t="s">
        <v>2816</v>
      </c>
      <c r="AW907" s="103"/>
      <c r="BI907"/>
    </row>
    <row r="908" spans="38:61" ht="15" x14ac:dyDescent="0.25">
      <c r="AL908" s="93" t="s">
        <v>2817</v>
      </c>
      <c r="AM908" s="92" t="s">
        <v>2818</v>
      </c>
      <c r="AW908" s="103"/>
      <c r="BI908"/>
    </row>
    <row r="909" spans="38:61" ht="15" x14ac:dyDescent="0.25">
      <c r="AL909" s="93" t="s">
        <v>2819</v>
      </c>
      <c r="AM909" s="92" t="s">
        <v>2820</v>
      </c>
      <c r="AW909" s="103"/>
      <c r="BI909"/>
    </row>
    <row r="910" spans="38:61" ht="15" x14ac:dyDescent="0.25">
      <c r="AL910" s="93" t="s">
        <v>2821</v>
      </c>
      <c r="AM910" s="92" t="s">
        <v>2822</v>
      </c>
      <c r="AW910" s="103"/>
      <c r="BI910"/>
    </row>
    <row r="911" spans="38:61" ht="15" x14ac:dyDescent="0.25">
      <c r="AL911" s="93" t="s">
        <v>2823</v>
      </c>
      <c r="AM911" s="92" t="s">
        <v>2824</v>
      </c>
      <c r="AW911" s="103"/>
      <c r="BI911"/>
    </row>
    <row r="912" spans="38:61" ht="15" x14ac:dyDescent="0.25">
      <c r="AL912" s="93" t="s">
        <v>2825</v>
      </c>
      <c r="AM912" s="92" t="s">
        <v>2826</v>
      </c>
      <c r="AW912" s="103"/>
      <c r="BI912"/>
    </row>
    <row r="913" spans="38:61" ht="15" x14ac:dyDescent="0.25">
      <c r="AL913" s="93" t="s">
        <v>2827</v>
      </c>
      <c r="AM913" s="92" t="s">
        <v>2828</v>
      </c>
      <c r="AW913" s="103"/>
      <c r="BI913"/>
    </row>
    <row r="914" spans="38:61" ht="15" x14ac:dyDescent="0.25">
      <c r="AL914" s="93" t="s">
        <v>2829</v>
      </c>
      <c r="AM914" s="92" t="s">
        <v>2830</v>
      </c>
      <c r="AW914" s="103"/>
      <c r="BI914"/>
    </row>
    <row r="915" spans="38:61" ht="15" x14ac:dyDescent="0.25">
      <c r="AL915" s="93" t="s">
        <v>2831</v>
      </c>
      <c r="AM915" s="92" t="s">
        <v>2832</v>
      </c>
      <c r="AW915" s="103"/>
      <c r="BI915"/>
    </row>
    <row r="916" spans="38:61" ht="15" x14ac:dyDescent="0.25">
      <c r="AL916" s="93" t="s">
        <v>2833</v>
      </c>
      <c r="AM916" s="92" t="s">
        <v>2834</v>
      </c>
      <c r="AW916" s="103"/>
      <c r="BI916"/>
    </row>
    <row r="917" spans="38:61" ht="15" x14ac:dyDescent="0.25">
      <c r="AL917" s="93" t="s">
        <v>2835</v>
      </c>
      <c r="AM917" s="92" t="s">
        <v>2836</v>
      </c>
      <c r="AW917" s="103"/>
      <c r="BI917"/>
    </row>
    <row r="918" spans="38:61" ht="15" x14ac:dyDescent="0.25">
      <c r="AL918" s="93" t="s">
        <v>2837</v>
      </c>
      <c r="AM918" s="92" t="s">
        <v>2838</v>
      </c>
      <c r="AW918" s="103"/>
      <c r="BI918"/>
    </row>
    <row r="919" spans="38:61" ht="15" x14ac:dyDescent="0.25">
      <c r="AL919" s="93" t="s">
        <v>2839</v>
      </c>
      <c r="AM919" s="92" t="s">
        <v>2840</v>
      </c>
      <c r="AW919" s="103"/>
      <c r="BI919"/>
    </row>
    <row r="920" spans="38:61" ht="15" x14ac:dyDescent="0.25">
      <c r="AL920" s="93" t="s">
        <v>2841</v>
      </c>
      <c r="AM920" s="92" t="s">
        <v>2842</v>
      </c>
      <c r="AW920" s="103"/>
      <c r="BI920"/>
    </row>
    <row r="921" spans="38:61" ht="15" x14ac:dyDescent="0.25">
      <c r="AL921" s="93" t="s">
        <v>2843</v>
      </c>
      <c r="AM921" s="92" t="s">
        <v>2844</v>
      </c>
      <c r="AW921" s="103"/>
      <c r="BI921"/>
    </row>
    <row r="922" spans="38:61" ht="15" x14ac:dyDescent="0.25">
      <c r="AL922" s="93" t="s">
        <v>2845</v>
      </c>
      <c r="AM922" s="92" t="s">
        <v>2846</v>
      </c>
      <c r="AW922" s="103"/>
      <c r="BI922"/>
    </row>
    <row r="923" spans="38:61" ht="15" x14ac:dyDescent="0.25">
      <c r="AL923" s="93" t="s">
        <v>2847</v>
      </c>
      <c r="AM923" s="92" t="s">
        <v>2848</v>
      </c>
      <c r="AW923" s="103"/>
      <c r="BI923"/>
    </row>
    <row r="924" spans="38:61" ht="15" x14ac:dyDescent="0.25">
      <c r="AL924" s="93" t="s">
        <v>2849</v>
      </c>
      <c r="AM924" s="92" t="s">
        <v>2850</v>
      </c>
      <c r="AW924" s="103"/>
      <c r="BI924"/>
    </row>
    <row r="925" spans="38:61" ht="15" x14ac:dyDescent="0.25">
      <c r="AL925" s="93" t="s">
        <v>2851</v>
      </c>
      <c r="AM925" s="92" t="s">
        <v>2852</v>
      </c>
      <c r="AW925" s="103"/>
      <c r="BI925"/>
    </row>
    <row r="926" spans="38:61" ht="15" x14ac:dyDescent="0.25">
      <c r="AL926" s="93" t="s">
        <v>2853</v>
      </c>
      <c r="AM926" s="92" t="s">
        <v>2854</v>
      </c>
      <c r="AW926" s="103"/>
      <c r="BI926"/>
    </row>
    <row r="927" spans="38:61" ht="15" x14ac:dyDescent="0.25">
      <c r="AL927" s="93" t="s">
        <v>2855</v>
      </c>
      <c r="AM927" s="92" t="s">
        <v>2856</v>
      </c>
      <c r="AW927" s="103"/>
      <c r="BI927"/>
    </row>
    <row r="928" spans="38:61" ht="15" x14ac:dyDescent="0.25">
      <c r="AL928" s="93" t="s">
        <v>2857</v>
      </c>
      <c r="AM928" s="92" t="s">
        <v>2858</v>
      </c>
      <c r="AW928" s="103"/>
      <c r="BI928"/>
    </row>
    <row r="929" spans="38:61" ht="15" x14ac:dyDescent="0.25">
      <c r="AL929" s="93" t="s">
        <v>2859</v>
      </c>
      <c r="AM929" s="92" t="s">
        <v>2860</v>
      </c>
      <c r="AW929" s="103"/>
      <c r="BI929"/>
    </row>
    <row r="930" spans="38:61" ht="15" x14ac:dyDescent="0.25">
      <c r="AL930" s="93" t="s">
        <v>2861</v>
      </c>
      <c r="AM930" s="92" t="s">
        <v>2862</v>
      </c>
      <c r="AW930" s="103"/>
      <c r="BI930"/>
    </row>
    <row r="931" spans="38:61" ht="15" x14ac:dyDescent="0.25">
      <c r="AL931" s="93" t="s">
        <v>2863</v>
      </c>
      <c r="AM931" s="92" t="s">
        <v>2864</v>
      </c>
      <c r="AW931" s="103"/>
      <c r="BI931"/>
    </row>
    <row r="932" spans="38:61" ht="15" x14ac:dyDescent="0.25">
      <c r="AL932" s="93" t="s">
        <v>2865</v>
      </c>
      <c r="AM932" s="92" t="s">
        <v>2866</v>
      </c>
      <c r="AW932" s="103"/>
      <c r="BI932"/>
    </row>
    <row r="933" spans="38:61" ht="15" x14ac:dyDescent="0.25">
      <c r="AL933" s="93" t="s">
        <v>2867</v>
      </c>
      <c r="AM933" s="92" t="s">
        <v>2868</v>
      </c>
      <c r="AW933" s="103"/>
      <c r="BI933"/>
    </row>
    <row r="934" spans="38:61" ht="15" x14ac:dyDescent="0.25">
      <c r="AL934" s="93" t="s">
        <v>2869</v>
      </c>
      <c r="AM934" s="92" t="s">
        <v>2870</v>
      </c>
      <c r="AW934" s="103"/>
      <c r="BI934"/>
    </row>
    <row r="935" spans="38:61" ht="15" x14ac:dyDescent="0.25">
      <c r="AL935" s="93" t="s">
        <v>2871</v>
      </c>
      <c r="AM935" s="92" t="s">
        <v>2872</v>
      </c>
      <c r="AW935" s="103"/>
      <c r="BI935"/>
    </row>
    <row r="936" spans="38:61" ht="15" x14ac:dyDescent="0.25">
      <c r="AL936" s="93" t="s">
        <v>2873</v>
      </c>
      <c r="AM936" s="92" t="s">
        <v>2874</v>
      </c>
      <c r="AW936" s="103"/>
      <c r="BI936"/>
    </row>
    <row r="937" spans="38:61" ht="15" x14ac:dyDescent="0.25">
      <c r="AL937" s="93" t="s">
        <v>2875</v>
      </c>
      <c r="AM937" s="92" t="s">
        <v>2876</v>
      </c>
      <c r="AW937" s="103"/>
      <c r="BI937"/>
    </row>
    <row r="938" spans="38:61" ht="15" x14ac:dyDescent="0.25">
      <c r="AL938" s="93" t="s">
        <v>2877</v>
      </c>
      <c r="AM938" s="92" t="s">
        <v>2878</v>
      </c>
      <c r="AW938" s="103"/>
      <c r="BI938"/>
    </row>
    <row r="939" spans="38:61" ht="15" x14ac:dyDescent="0.25">
      <c r="AL939" s="93" t="s">
        <v>2879</v>
      </c>
      <c r="AM939" s="92" t="s">
        <v>2880</v>
      </c>
      <c r="AW939" s="103"/>
      <c r="BI939"/>
    </row>
    <row r="940" spans="38:61" ht="15" x14ac:dyDescent="0.25">
      <c r="AL940" s="93" t="s">
        <v>2881</v>
      </c>
      <c r="AM940" s="92" t="s">
        <v>2882</v>
      </c>
      <c r="AW940" s="103"/>
      <c r="BI940"/>
    </row>
    <row r="941" spans="38:61" ht="15" x14ac:dyDescent="0.25">
      <c r="AL941" s="93" t="s">
        <v>2883</v>
      </c>
      <c r="AM941" s="92" t="s">
        <v>2884</v>
      </c>
      <c r="AW941" s="103"/>
      <c r="BI941"/>
    </row>
    <row r="942" spans="38:61" ht="15" x14ac:dyDescent="0.25">
      <c r="AL942" s="93" t="s">
        <v>2885</v>
      </c>
      <c r="AM942" s="92" t="s">
        <v>2886</v>
      </c>
      <c r="AW942" s="103"/>
      <c r="BI942"/>
    </row>
    <row r="943" spans="38:61" ht="15" x14ac:dyDescent="0.25">
      <c r="AL943" s="93" t="s">
        <v>2887</v>
      </c>
      <c r="AM943" s="92" t="s">
        <v>2888</v>
      </c>
      <c r="AW943" s="103"/>
      <c r="BI943"/>
    </row>
    <row r="944" spans="38:61" ht="15" x14ac:dyDescent="0.25">
      <c r="AL944" s="93" t="s">
        <v>2889</v>
      </c>
      <c r="AM944" s="92" t="s">
        <v>2890</v>
      </c>
      <c r="AW944" s="103"/>
      <c r="BI944"/>
    </row>
    <row r="945" spans="38:61" ht="15" x14ac:dyDescent="0.25">
      <c r="AL945" s="93" t="s">
        <v>2891</v>
      </c>
      <c r="AM945" s="92" t="s">
        <v>2892</v>
      </c>
      <c r="AW945" s="103"/>
      <c r="BI945"/>
    </row>
    <row r="946" spans="38:61" ht="15" x14ac:dyDescent="0.25">
      <c r="AL946" s="93" t="s">
        <v>2893</v>
      </c>
      <c r="AM946" s="92" t="s">
        <v>2894</v>
      </c>
      <c r="AW946" s="103"/>
      <c r="BI946"/>
    </row>
    <row r="947" spans="38:61" ht="15" x14ac:dyDescent="0.25">
      <c r="AL947" s="93" t="s">
        <v>2895</v>
      </c>
      <c r="AM947" s="92" t="s">
        <v>2896</v>
      </c>
      <c r="AW947" s="103"/>
      <c r="BI947"/>
    </row>
    <row r="948" spans="38:61" ht="15" x14ac:dyDescent="0.25">
      <c r="AL948" s="93" t="s">
        <v>2897</v>
      </c>
      <c r="AM948" s="92" t="s">
        <v>2898</v>
      </c>
      <c r="AW948" s="103"/>
      <c r="BI948"/>
    </row>
    <row r="949" spans="38:61" ht="15" x14ac:dyDescent="0.25">
      <c r="AL949" s="93" t="s">
        <v>2899</v>
      </c>
      <c r="AM949" s="92" t="s">
        <v>2900</v>
      </c>
      <c r="AW949" s="103"/>
      <c r="BI949"/>
    </row>
    <row r="950" spans="38:61" ht="15" x14ac:dyDescent="0.25">
      <c r="AL950" s="93" t="s">
        <v>2901</v>
      </c>
      <c r="AM950" s="92" t="s">
        <v>2902</v>
      </c>
      <c r="AW950" s="103"/>
      <c r="BI950"/>
    </row>
    <row r="951" spans="38:61" ht="15" x14ac:dyDescent="0.25">
      <c r="AL951" s="93" t="s">
        <v>2903</v>
      </c>
      <c r="AM951" s="92" t="s">
        <v>2904</v>
      </c>
      <c r="AW951" s="103"/>
      <c r="BI951"/>
    </row>
    <row r="952" spans="38:61" ht="15" x14ac:dyDescent="0.25">
      <c r="AL952" s="93" t="s">
        <v>2905</v>
      </c>
      <c r="AM952" s="92" t="s">
        <v>2906</v>
      </c>
      <c r="AW952" s="103"/>
      <c r="BI952"/>
    </row>
    <row r="953" spans="38:61" ht="15" x14ac:dyDescent="0.25">
      <c r="AL953" s="93" t="s">
        <v>2907</v>
      </c>
      <c r="AM953" s="92" t="s">
        <v>2908</v>
      </c>
      <c r="AW953" s="103"/>
      <c r="BI953"/>
    </row>
    <row r="954" spans="38:61" ht="15" x14ac:dyDescent="0.25">
      <c r="AL954" s="93" t="s">
        <v>2909</v>
      </c>
      <c r="AM954" s="92" t="s">
        <v>2910</v>
      </c>
      <c r="AW954" s="103"/>
      <c r="BI954"/>
    </row>
    <row r="955" spans="38:61" ht="15" x14ac:dyDescent="0.25">
      <c r="AL955" s="93" t="s">
        <v>2911</v>
      </c>
      <c r="AM955" s="92" t="s">
        <v>2912</v>
      </c>
      <c r="AW955" s="103"/>
      <c r="BI955"/>
    </row>
    <row r="956" spans="38:61" ht="15" x14ac:dyDescent="0.25">
      <c r="AL956" s="93" t="s">
        <v>2913</v>
      </c>
      <c r="AM956" s="92" t="s">
        <v>2914</v>
      </c>
      <c r="AW956" s="103"/>
      <c r="BI956"/>
    </row>
    <row r="957" spans="38:61" ht="15" x14ac:dyDescent="0.25">
      <c r="AL957" s="93" t="s">
        <v>2915</v>
      </c>
      <c r="AM957" s="92" t="s">
        <v>2916</v>
      </c>
      <c r="AW957" s="103"/>
      <c r="BI957"/>
    </row>
    <row r="958" spans="38:61" ht="15" x14ac:dyDescent="0.25">
      <c r="AL958" s="93" t="s">
        <v>2917</v>
      </c>
      <c r="AM958" s="92" t="s">
        <v>2918</v>
      </c>
      <c r="AW958" s="103"/>
      <c r="BI958"/>
    </row>
    <row r="959" spans="38:61" ht="15" x14ac:dyDescent="0.25">
      <c r="AL959" s="93" t="s">
        <v>2919</v>
      </c>
      <c r="AM959" s="92" t="s">
        <v>2920</v>
      </c>
      <c r="AW959" s="103"/>
      <c r="BI959"/>
    </row>
    <row r="960" spans="38:61" ht="15" x14ac:dyDescent="0.25">
      <c r="AL960" s="93" t="s">
        <v>2921</v>
      </c>
      <c r="AM960" s="92" t="s">
        <v>2922</v>
      </c>
      <c r="AW960" s="103"/>
      <c r="BI960"/>
    </row>
    <row r="961" spans="38:61" ht="15" x14ac:dyDescent="0.25">
      <c r="AL961" s="93" t="s">
        <v>2923</v>
      </c>
      <c r="AM961" s="92" t="s">
        <v>2924</v>
      </c>
      <c r="AW961" s="103"/>
      <c r="BI961"/>
    </row>
    <row r="962" spans="38:61" ht="15" x14ac:dyDescent="0.25">
      <c r="AL962" s="93" t="s">
        <v>2925</v>
      </c>
      <c r="AM962" s="92" t="s">
        <v>2926</v>
      </c>
      <c r="AW962" s="103"/>
      <c r="BI962"/>
    </row>
    <row r="963" spans="38:61" ht="15" x14ac:dyDescent="0.25">
      <c r="AL963" s="93" t="s">
        <v>2927</v>
      </c>
      <c r="AM963" s="92" t="s">
        <v>2928</v>
      </c>
      <c r="AW963" s="103"/>
      <c r="BI963"/>
    </row>
    <row r="964" spans="38:61" ht="15" x14ac:dyDescent="0.25">
      <c r="AL964" s="93" t="s">
        <v>2929</v>
      </c>
      <c r="AM964" s="92" t="s">
        <v>2930</v>
      </c>
      <c r="AW964" s="103"/>
      <c r="BI964"/>
    </row>
    <row r="965" spans="38:61" ht="15" x14ac:dyDescent="0.25">
      <c r="AL965" s="93" t="s">
        <v>2931</v>
      </c>
      <c r="AM965" s="92" t="s">
        <v>2932</v>
      </c>
      <c r="AW965" s="103"/>
      <c r="BI965"/>
    </row>
    <row r="966" spans="38:61" ht="15" x14ac:dyDescent="0.25">
      <c r="AL966" s="93" t="s">
        <v>2933</v>
      </c>
      <c r="AM966" s="92" t="s">
        <v>2934</v>
      </c>
      <c r="AW966" s="103"/>
      <c r="BI966"/>
    </row>
    <row r="967" spans="38:61" ht="15" x14ac:dyDescent="0.25">
      <c r="AL967" s="93" t="s">
        <v>2935</v>
      </c>
      <c r="AM967" s="92" t="s">
        <v>2936</v>
      </c>
      <c r="AW967" s="103"/>
      <c r="BI967"/>
    </row>
    <row r="968" spans="38:61" ht="15" x14ac:dyDescent="0.25">
      <c r="AL968" s="93" t="s">
        <v>2937</v>
      </c>
      <c r="AM968" s="92" t="s">
        <v>2938</v>
      </c>
      <c r="AW968" s="103"/>
      <c r="BI968"/>
    </row>
    <row r="969" spans="38:61" ht="15" x14ac:dyDescent="0.25">
      <c r="AL969" s="93" t="s">
        <v>2939</v>
      </c>
      <c r="AM969" s="92" t="s">
        <v>2940</v>
      </c>
      <c r="AW969" s="103"/>
      <c r="BI969"/>
    </row>
    <row r="970" spans="38:61" ht="15" x14ac:dyDescent="0.25">
      <c r="AL970" s="93" t="s">
        <v>2941</v>
      </c>
      <c r="AM970" s="92" t="s">
        <v>2942</v>
      </c>
      <c r="AW970" s="103"/>
      <c r="BI970"/>
    </row>
    <row r="971" spans="38:61" ht="15" x14ac:dyDescent="0.25">
      <c r="AL971" s="93" t="s">
        <v>2943</v>
      </c>
      <c r="AM971" s="92" t="s">
        <v>2944</v>
      </c>
      <c r="AW971" s="103"/>
      <c r="BI971"/>
    </row>
    <row r="972" spans="38:61" ht="15" x14ac:dyDescent="0.25">
      <c r="AL972" s="93" t="s">
        <v>2945</v>
      </c>
      <c r="AM972" s="92" t="s">
        <v>2946</v>
      </c>
      <c r="AW972" s="103"/>
      <c r="BI972"/>
    </row>
    <row r="973" spans="38:61" ht="15" x14ac:dyDescent="0.25">
      <c r="AL973" s="93" t="s">
        <v>2947</v>
      </c>
      <c r="AM973" s="92" t="s">
        <v>2948</v>
      </c>
      <c r="AW973" s="103"/>
      <c r="BI973"/>
    </row>
    <row r="974" spans="38:61" ht="15" x14ac:dyDescent="0.25">
      <c r="AL974" s="93" t="s">
        <v>2949</v>
      </c>
      <c r="AM974" s="92" t="s">
        <v>2950</v>
      </c>
      <c r="AW974" s="103"/>
      <c r="BI974"/>
    </row>
    <row r="975" spans="38:61" ht="15" x14ac:dyDescent="0.25">
      <c r="AL975" s="93" t="s">
        <v>2951</v>
      </c>
      <c r="AM975" s="92" t="s">
        <v>2952</v>
      </c>
      <c r="AW975" s="103"/>
      <c r="BI975"/>
    </row>
    <row r="976" spans="38:61" ht="15" x14ac:dyDescent="0.25">
      <c r="AL976" s="93" t="s">
        <v>2953</v>
      </c>
      <c r="AM976" s="92" t="s">
        <v>2954</v>
      </c>
      <c r="AW976" s="103"/>
      <c r="BI976"/>
    </row>
    <row r="977" spans="38:61" ht="15" x14ac:dyDescent="0.25">
      <c r="AL977" s="93" t="s">
        <v>2955</v>
      </c>
      <c r="AM977" s="92" t="s">
        <v>2956</v>
      </c>
      <c r="AW977" s="103"/>
      <c r="BI977"/>
    </row>
    <row r="978" spans="38:61" ht="15" x14ac:dyDescent="0.25">
      <c r="AL978" s="93" t="s">
        <v>2957</v>
      </c>
      <c r="AM978" s="92" t="s">
        <v>2958</v>
      </c>
      <c r="AW978" s="103"/>
      <c r="BI978"/>
    </row>
    <row r="979" spans="38:61" ht="15" x14ac:dyDescent="0.25">
      <c r="AL979" s="93" t="s">
        <v>2959</v>
      </c>
      <c r="AM979" s="92" t="s">
        <v>2960</v>
      </c>
      <c r="AW979" s="103"/>
      <c r="BI979"/>
    </row>
    <row r="980" spans="38:61" ht="15" x14ac:dyDescent="0.25">
      <c r="AL980" s="93" t="s">
        <v>2961</v>
      </c>
      <c r="AM980" s="92" t="s">
        <v>2962</v>
      </c>
      <c r="AW980" s="103"/>
      <c r="BI980"/>
    </row>
    <row r="981" spans="38:61" ht="15" x14ac:dyDescent="0.25">
      <c r="AL981" s="93" t="s">
        <v>2963</v>
      </c>
      <c r="AM981" s="92" t="s">
        <v>2964</v>
      </c>
      <c r="AW981" s="103"/>
      <c r="BI981"/>
    </row>
    <row r="982" spans="38:61" ht="15" x14ac:dyDescent="0.25">
      <c r="AL982" s="93" t="s">
        <v>2965</v>
      </c>
      <c r="AM982" s="92" t="s">
        <v>2966</v>
      </c>
      <c r="AW982" s="103"/>
      <c r="BI982"/>
    </row>
    <row r="983" spans="38:61" ht="15" x14ac:dyDescent="0.25">
      <c r="AL983" s="93" t="s">
        <v>2967</v>
      </c>
      <c r="AM983" s="92" t="s">
        <v>2968</v>
      </c>
      <c r="AW983" s="103"/>
      <c r="BI983"/>
    </row>
    <row r="984" spans="38:61" ht="15" x14ac:dyDescent="0.25">
      <c r="AL984" s="93" t="s">
        <v>2969</v>
      </c>
      <c r="AM984" s="92" t="s">
        <v>2970</v>
      </c>
      <c r="AW984" s="103"/>
      <c r="BI984"/>
    </row>
    <row r="985" spans="38:61" ht="15" x14ac:dyDescent="0.25">
      <c r="AL985" s="93" t="s">
        <v>2971</v>
      </c>
      <c r="AM985" s="92" t="s">
        <v>2972</v>
      </c>
      <c r="AW985" s="103"/>
      <c r="BI985"/>
    </row>
    <row r="986" spans="38:61" ht="15" x14ac:dyDescent="0.25">
      <c r="AL986" s="93" t="s">
        <v>2973</v>
      </c>
      <c r="AM986" s="92" t="s">
        <v>2974</v>
      </c>
      <c r="AW986" s="103"/>
      <c r="BI986"/>
    </row>
    <row r="987" spans="38:61" ht="15" x14ac:dyDescent="0.25">
      <c r="AL987" s="93" t="s">
        <v>2975</v>
      </c>
      <c r="AM987" s="92" t="s">
        <v>2976</v>
      </c>
      <c r="AW987" s="103"/>
      <c r="BI987"/>
    </row>
    <row r="988" spans="38:61" ht="15" x14ac:dyDescent="0.25">
      <c r="AL988" s="93" t="s">
        <v>2977</v>
      </c>
      <c r="AM988" s="92" t="s">
        <v>2978</v>
      </c>
      <c r="AW988" s="103"/>
      <c r="BI988"/>
    </row>
    <row r="989" spans="38:61" ht="15" x14ac:dyDescent="0.25">
      <c r="AL989" s="93" t="s">
        <v>2979</v>
      </c>
      <c r="AM989" s="92" t="s">
        <v>2980</v>
      </c>
      <c r="AW989" s="103"/>
      <c r="BI989"/>
    </row>
    <row r="990" spans="38:61" ht="15" x14ac:dyDescent="0.25">
      <c r="AL990" s="93" t="s">
        <v>2981</v>
      </c>
      <c r="AM990" s="92" t="s">
        <v>2982</v>
      </c>
      <c r="AW990" s="103"/>
      <c r="BI990"/>
    </row>
    <row r="991" spans="38:61" ht="15" x14ac:dyDescent="0.25">
      <c r="AL991" s="93" t="s">
        <v>2983</v>
      </c>
      <c r="AM991" s="92" t="s">
        <v>2984</v>
      </c>
      <c r="AW991" s="103"/>
      <c r="BI991"/>
    </row>
    <row r="992" spans="38:61" ht="15" x14ac:dyDescent="0.25">
      <c r="AL992" s="93" t="s">
        <v>2985</v>
      </c>
      <c r="AM992" s="92" t="s">
        <v>2986</v>
      </c>
      <c r="AW992" s="103"/>
      <c r="BI992"/>
    </row>
    <row r="993" spans="38:61" ht="15" x14ac:dyDescent="0.25">
      <c r="AL993" s="93" t="s">
        <v>2987</v>
      </c>
      <c r="AM993" s="92" t="s">
        <v>2988</v>
      </c>
      <c r="AW993" s="103"/>
      <c r="BI993"/>
    </row>
    <row r="994" spans="38:61" ht="15" x14ac:dyDescent="0.25">
      <c r="AL994" s="93" t="s">
        <v>2989</v>
      </c>
      <c r="AM994" s="92" t="s">
        <v>2990</v>
      </c>
      <c r="AW994" s="103"/>
      <c r="BI994"/>
    </row>
    <row r="995" spans="38:61" ht="15" x14ac:dyDescent="0.25">
      <c r="AL995" s="93" t="s">
        <v>2991</v>
      </c>
      <c r="AM995" s="92" t="s">
        <v>2992</v>
      </c>
      <c r="AW995" s="103"/>
      <c r="BI995"/>
    </row>
    <row r="996" spans="38:61" ht="15" x14ac:dyDescent="0.25">
      <c r="AL996" s="93" t="s">
        <v>2993</v>
      </c>
      <c r="AM996" s="92" t="s">
        <v>2994</v>
      </c>
      <c r="AW996" s="103"/>
      <c r="BI996"/>
    </row>
    <row r="997" spans="38:61" ht="15" x14ac:dyDescent="0.25">
      <c r="AL997" s="93" t="s">
        <v>2995</v>
      </c>
      <c r="AM997" s="92" t="s">
        <v>2996</v>
      </c>
      <c r="AW997" s="103"/>
      <c r="BI997"/>
    </row>
    <row r="998" spans="38:61" ht="15" x14ac:dyDescent="0.25">
      <c r="AL998" s="93" t="s">
        <v>2997</v>
      </c>
      <c r="AM998" s="92" t="s">
        <v>2998</v>
      </c>
      <c r="AW998" s="103"/>
      <c r="BI998"/>
    </row>
    <row r="999" spans="38:61" ht="15" x14ac:dyDescent="0.25">
      <c r="AL999" s="93" t="s">
        <v>2999</v>
      </c>
      <c r="AM999" s="92" t="s">
        <v>3000</v>
      </c>
      <c r="AW999" s="103"/>
      <c r="BI999"/>
    </row>
    <row r="1000" spans="38:61" ht="15" x14ac:dyDescent="0.25">
      <c r="AL1000" s="93" t="s">
        <v>3001</v>
      </c>
      <c r="AM1000" s="92" t="s">
        <v>3002</v>
      </c>
      <c r="AW1000" s="103"/>
      <c r="BI1000"/>
    </row>
    <row r="1001" spans="38:61" ht="15" x14ac:dyDescent="0.25">
      <c r="AL1001" s="93" t="s">
        <v>3003</v>
      </c>
      <c r="AM1001" s="92" t="s">
        <v>3004</v>
      </c>
      <c r="AW1001" s="103"/>
      <c r="BI1001"/>
    </row>
    <row r="1002" spans="38:61" ht="15" x14ac:dyDescent="0.25">
      <c r="AL1002" s="93" t="s">
        <v>3005</v>
      </c>
      <c r="AM1002" s="92" t="s">
        <v>3006</v>
      </c>
      <c r="AW1002" s="103"/>
      <c r="BI1002"/>
    </row>
    <row r="1003" spans="38:61" ht="15" x14ac:dyDescent="0.25">
      <c r="AL1003" s="93" t="s">
        <v>3007</v>
      </c>
      <c r="AM1003" s="92" t="s">
        <v>3008</v>
      </c>
      <c r="AW1003" s="103"/>
      <c r="BI1003"/>
    </row>
    <row r="1004" spans="38:61" ht="15" x14ac:dyDescent="0.25">
      <c r="AL1004" s="93" t="s">
        <v>3009</v>
      </c>
      <c r="AM1004" s="92" t="s">
        <v>3010</v>
      </c>
      <c r="AW1004" s="103"/>
      <c r="BI1004"/>
    </row>
    <row r="1005" spans="38:61" ht="15" x14ac:dyDescent="0.25">
      <c r="AL1005" s="93" t="s">
        <v>3011</v>
      </c>
      <c r="AM1005" s="92" t="s">
        <v>3012</v>
      </c>
      <c r="AW1005" s="103"/>
      <c r="BI1005"/>
    </row>
    <row r="1006" spans="38:61" ht="15" x14ac:dyDescent="0.25">
      <c r="AL1006" s="93" t="s">
        <v>3013</v>
      </c>
      <c r="AM1006" s="92" t="s">
        <v>3014</v>
      </c>
      <c r="AW1006" s="103"/>
      <c r="BI1006"/>
    </row>
    <row r="1007" spans="38:61" ht="15" x14ac:dyDescent="0.25">
      <c r="AL1007" s="93" t="s">
        <v>3015</v>
      </c>
      <c r="AM1007" s="92" t="s">
        <v>3016</v>
      </c>
      <c r="AW1007" s="103"/>
      <c r="BI1007"/>
    </row>
    <row r="1008" spans="38:61" ht="15" x14ac:dyDescent="0.25">
      <c r="AL1008" s="93" t="s">
        <v>3017</v>
      </c>
      <c r="AM1008" s="92" t="s">
        <v>3018</v>
      </c>
      <c r="AW1008" s="103"/>
      <c r="BI1008"/>
    </row>
    <row r="1009" spans="38:61" ht="15" x14ac:dyDescent="0.25">
      <c r="AL1009" s="93" t="s">
        <v>3019</v>
      </c>
      <c r="AM1009" s="92" t="s">
        <v>3020</v>
      </c>
      <c r="AW1009" s="103"/>
      <c r="BI1009"/>
    </row>
    <row r="1010" spans="38:61" ht="15" x14ac:dyDescent="0.25">
      <c r="AL1010" s="93" t="s">
        <v>3021</v>
      </c>
      <c r="AM1010" s="92" t="s">
        <v>3022</v>
      </c>
      <c r="AW1010" s="103"/>
      <c r="BI1010"/>
    </row>
    <row r="1011" spans="38:61" ht="15" x14ac:dyDescent="0.25">
      <c r="AL1011" s="93" t="s">
        <v>3023</v>
      </c>
      <c r="AM1011" s="92" t="s">
        <v>3024</v>
      </c>
      <c r="AW1011" s="103"/>
      <c r="BI1011"/>
    </row>
    <row r="1012" spans="38:61" ht="15" x14ac:dyDescent="0.25">
      <c r="AL1012" s="93" t="s">
        <v>3025</v>
      </c>
      <c r="AM1012" s="92" t="s">
        <v>3026</v>
      </c>
      <c r="AW1012" s="103"/>
      <c r="BI1012"/>
    </row>
    <row r="1013" spans="38:61" ht="15" x14ac:dyDescent="0.25">
      <c r="AL1013" s="93" t="s">
        <v>3027</v>
      </c>
      <c r="AM1013" s="92" t="s">
        <v>3028</v>
      </c>
      <c r="AW1013" s="103"/>
      <c r="BI1013"/>
    </row>
    <row r="1014" spans="38:61" ht="15" x14ac:dyDescent="0.25">
      <c r="AL1014" s="93" t="s">
        <v>3029</v>
      </c>
      <c r="AM1014" s="92" t="s">
        <v>3030</v>
      </c>
      <c r="AW1014" s="103"/>
      <c r="BI1014"/>
    </row>
    <row r="1015" spans="38:61" ht="15" x14ac:dyDescent="0.25">
      <c r="AL1015" s="93" t="s">
        <v>3031</v>
      </c>
      <c r="AM1015" s="92" t="s">
        <v>3032</v>
      </c>
      <c r="AW1015" s="103"/>
      <c r="BI1015"/>
    </row>
    <row r="1016" spans="38:61" ht="15" x14ac:dyDescent="0.25">
      <c r="AL1016" s="93" t="s">
        <v>3033</v>
      </c>
      <c r="AM1016" s="92" t="s">
        <v>3034</v>
      </c>
      <c r="AW1016" s="103"/>
      <c r="BI1016"/>
    </row>
    <row r="1017" spans="38:61" ht="15" x14ac:dyDescent="0.25">
      <c r="AL1017" s="93" t="s">
        <v>3035</v>
      </c>
      <c r="AM1017" s="92" t="s">
        <v>3036</v>
      </c>
      <c r="AW1017" s="103"/>
      <c r="BI1017"/>
    </row>
    <row r="1018" spans="38:61" ht="15" x14ac:dyDescent="0.25">
      <c r="AL1018" s="93" t="s">
        <v>3037</v>
      </c>
      <c r="AM1018" s="92" t="s">
        <v>3038</v>
      </c>
      <c r="AW1018" s="103"/>
      <c r="BI1018"/>
    </row>
    <row r="1019" spans="38:61" ht="15" x14ac:dyDescent="0.25">
      <c r="AL1019" s="93" t="s">
        <v>3039</v>
      </c>
      <c r="AM1019" s="92" t="s">
        <v>3040</v>
      </c>
      <c r="AW1019" s="103"/>
      <c r="BI1019"/>
    </row>
    <row r="1020" spans="38:61" ht="15" x14ac:dyDescent="0.25">
      <c r="AL1020" s="93" t="s">
        <v>3041</v>
      </c>
      <c r="AM1020" s="92" t="s">
        <v>3042</v>
      </c>
      <c r="AW1020" s="103"/>
      <c r="BI1020"/>
    </row>
    <row r="1021" spans="38:61" ht="15" x14ac:dyDescent="0.25">
      <c r="AL1021" s="93" t="s">
        <v>3043</v>
      </c>
      <c r="AM1021" s="92" t="s">
        <v>3044</v>
      </c>
      <c r="AW1021" s="103"/>
      <c r="BI1021"/>
    </row>
    <row r="1022" spans="38:61" ht="15" x14ac:dyDescent="0.25">
      <c r="AL1022" s="93" t="s">
        <v>3045</v>
      </c>
      <c r="AM1022" s="92" t="s">
        <v>3046</v>
      </c>
      <c r="AW1022" s="103"/>
      <c r="BI1022"/>
    </row>
    <row r="1023" spans="38:61" ht="15" x14ac:dyDescent="0.25">
      <c r="AL1023" s="93" t="s">
        <v>3047</v>
      </c>
      <c r="AM1023" s="92" t="s">
        <v>3048</v>
      </c>
      <c r="AW1023" s="103"/>
      <c r="BI1023"/>
    </row>
    <row r="1024" spans="38:61" ht="15" x14ac:dyDescent="0.25">
      <c r="AL1024" s="93" t="s">
        <v>3049</v>
      </c>
      <c r="AM1024" s="92" t="s">
        <v>3050</v>
      </c>
      <c r="AW1024" s="103"/>
      <c r="BI1024"/>
    </row>
    <row r="1025" spans="38:61" ht="15" x14ac:dyDescent="0.25">
      <c r="AL1025" s="93" t="s">
        <v>3051</v>
      </c>
      <c r="AM1025" s="92" t="s">
        <v>3052</v>
      </c>
      <c r="AW1025" s="103"/>
      <c r="BI1025"/>
    </row>
    <row r="1026" spans="38:61" ht="15" x14ac:dyDescent="0.25">
      <c r="AL1026" s="93" t="s">
        <v>3053</v>
      </c>
      <c r="AM1026" s="92" t="s">
        <v>3054</v>
      </c>
      <c r="AW1026" s="103"/>
      <c r="BI1026"/>
    </row>
    <row r="1027" spans="38:61" ht="15" x14ac:dyDescent="0.25">
      <c r="AL1027" s="93" t="s">
        <v>3055</v>
      </c>
      <c r="AM1027" s="92" t="s">
        <v>3056</v>
      </c>
      <c r="AW1027" s="103"/>
      <c r="BI1027"/>
    </row>
    <row r="1028" spans="38:61" ht="15" x14ac:dyDescent="0.25">
      <c r="AL1028" s="93" t="s">
        <v>3057</v>
      </c>
      <c r="AM1028" s="92" t="s">
        <v>3058</v>
      </c>
      <c r="AW1028" s="103"/>
      <c r="BI1028"/>
    </row>
    <row r="1029" spans="38:61" ht="15" x14ac:dyDescent="0.25">
      <c r="AL1029" s="93" t="s">
        <v>3059</v>
      </c>
      <c r="AM1029" s="92" t="s">
        <v>3060</v>
      </c>
      <c r="AW1029" s="103"/>
      <c r="BI1029"/>
    </row>
    <row r="1030" spans="38:61" ht="15" x14ac:dyDescent="0.25">
      <c r="AL1030" s="93" t="s">
        <v>3061</v>
      </c>
      <c r="AM1030" s="92" t="s">
        <v>3062</v>
      </c>
      <c r="AW1030" s="103"/>
      <c r="BI1030"/>
    </row>
    <row r="1031" spans="38:61" ht="15" x14ac:dyDescent="0.25">
      <c r="AL1031" s="93" t="s">
        <v>3063</v>
      </c>
      <c r="AM1031" s="92" t="s">
        <v>3064</v>
      </c>
      <c r="AW1031" s="103"/>
      <c r="BI1031"/>
    </row>
    <row r="1032" spans="38:61" ht="15" x14ac:dyDescent="0.25">
      <c r="AL1032" s="93" t="s">
        <v>3065</v>
      </c>
      <c r="AM1032" s="92" t="s">
        <v>3066</v>
      </c>
      <c r="AW1032" s="103"/>
      <c r="BI1032"/>
    </row>
    <row r="1033" spans="38:61" ht="15" x14ac:dyDescent="0.25">
      <c r="AL1033" s="93" t="s">
        <v>3067</v>
      </c>
      <c r="AM1033" s="92" t="s">
        <v>3068</v>
      </c>
      <c r="AW1033" s="103"/>
      <c r="BI1033"/>
    </row>
    <row r="1034" spans="38:61" ht="15" x14ac:dyDescent="0.25">
      <c r="AL1034" s="93" t="s">
        <v>3069</v>
      </c>
      <c r="AM1034" s="92" t="s">
        <v>3070</v>
      </c>
      <c r="AW1034" s="103"/>
      <c r="BI1034"/>
    </row>
    <row r="1035" spans="38:61" ht="15" x14ac:dyDescent="0.25">
      <c r="AL1035" s="93" t="s">
        <v>3071</v>
      </c>
      <c r="AM1035" s="92" t="s">
        <v>3072</v>
      </c>
      <c r="AW1035" s="103"/>
      <c r="BI1035"/>
    </row>
    <row r="1036" spans="38:61" ht="15" x14ac:dyDescent="0.25">
      <c r="AL1036" s="93" t="s">
        <v>3073</v>
      </c>
      <c r="AM1036" s="92" t="s">
        <v>3074</v>
      </c>
      <c r="AW1036" s="103"/>
      <c r="BI1036"/>
    </row>
    <row r="1037" spans="38:61" ht="15" x14ac:dyDescent="0.25">
      <c r="AL1037" s="93" t="s">
        <v>3075</v>
      </c>
      <c r="AM1037" s="92" t="s">
        <v>3076</v>
      </c>
      <c r="AW1037" s="103"/>
      <c r="BI1037"/>
    </row>
    <row r="1038" spans="38:61" ht="15" x14ac:dyDescent="0.25">
      <c r="AL1038" s="93" t="s">
        <v>3077</v>
      </c>
      <c r="AM1038" s="92" t="s">
        <v>3078</v>
      </c>
      <c r="AW1038" s="103"/>
      <c r="BI1038"/>
    </row>
    <row r="1039" spans="38:61" ht="15" x14ac:dyDescent="0.25">
      <c r="AL1039" s="93" t="s">
        <v>3079</v>
      </c>
      <c r="AM1039" s="92" t="s">
        <v>3080</v>
      </c>
      <c r="AW1039" s="103"/>
      <c r="BI1039"/>
    </row>
    <row r="1040" spans="38:61" ht="15" x14ac:dyDescent="0.25">
      <c r="AL1040" s="93" t="s">
        <v>3081</v>
      </c>
      <c r="AM1040" s="92" t="s">
        <v>3082</v>
      </c>
      <c r="AW1040" s="103"/>
      <c r="BI1040"/>
    </row>
    <row r="1041" spans="38:61" ht="15" x14ac:dyDescent="0.25">
      <c r="AL1041" s="93" t="s">
        <v>3083</v>
      </c>
      <c r="AM1041" s="92" t="s">
        <v>3084</v>
      </c>
      <c r="AW1041" s="103"/>
      <c r="BI1041"/>
    </row>
    <row r="1042" spans="38:61" ht="15" x14ac:dyDescent="0.25">
      <c r="AL1042" s="93" t="s">
        <v>3085</v>
      </c>
      <c r="AM1042" s="92" t="s">
        <v>3086</v>
      </c>
      <c r="AW1042" s="103"/>
      <c r="BI1042"/>
    </row>
    <row r="1043" spans="38:61" ht="15" x14ac:dyDescent="0.25">
      <c r="AL1043" s="93" t="s">
        <v>3087</v>
      </c>
      <c r="AM1043" s="92" t="s">
        <v>3088</v>
      </c>
      <c r="AW1043" s="103"/>
      <c r="BI1043"/>
    </row>
    <row r="1044" spans="38:61" ht="15" x14ac:dyDescent="0.25">
      <c r="AL1044" s="93" t="s">
        <v>3089</v>
      </c>
      <c r="AM1044" s="92" t="s">
        <v>3090</v>
      </c>
      <c r="AW1044" s="103"/>
      <c r="BI1044"/>
    </row>
    <row r="1045" spans="38:61" ht="15" x14ac:dyDescent="0.25">
      <c r="AL1045" s="93" t="s">
        <v>3091</v>
      </c>
      <c r="AM1045" s="92" t="s">
        <v>3092</v>
      </c>
      <c r="AW1045" s="103"/>
      <c r="BI1045"/>
    </row>
    <row r="1046" spans="38:61" ht="15" x14ac:dyDescent="0.25">
      <c r="AL1046" s="93" t="s">
        <v>3093</v>
      </c>
      <c r="AM1046" s="92" t="s">
        <v>3094</v>
      </c>
      <c r="AW1046" s="103"/>
      <c r="BI1046"/>
    </row>
    <row r="1047" spans="38:61" ht="15" x14ac:dyDescent="0.25">
      <c r="AL1047" s="93" t="s">
        <v>3095</v>
      </c>
      <c r="AM1047" s="92" t="s">
        <v>3096</v>
      </c>
      <c r="AW1047" s="103"/>
      <c r="BI1047"/>
    </row>
    <row r="1048" spans="38:61" ht="15" x14ac:dyDescent="0.25">
      <c r="AL1048" s="93" t="s">
        <v>3097</v>
      </c>
      <c r="AM1048" s="92" t="s">
        <v>3098</v>
      </c>
      <c r="AW1048" s="103"/>
      <c r="BI1048"/>
    </row>
    <row r="1049" spans="38:61" ht="15" x14ac:dyDescent="0.25">
      <c r="AL1049" s="93" t="s">
        <v>3099</v>
      </c>
      <c r="AM1049" s="92" t="s">
        <v>3100</v>
      </c>
      <c r="AW1049" s="103"/>
      <c r="BI1049"/>
    </row>
    <row r="1050" spans="38:61" ht="15" x14ac:dyDescent="0.25">
      <c r="AL1050" s="93" t="s">
        <v>3101</v>
      </c>
      <c r="AM1050" s="92" t="s">
        <v>3102</v>
      </c>
      <c r="AW1050" s="103"/>
      <c r="BI1050"/>
    </row>
    <row r="1051" spans="38:61" ht="15" x14ac:dyDescent="0.25">
      <c r="AL1051" s="93" t="s">
        <v>3103</v>
      </c>
      <c r="AM1051" s="92" t="s">
        <v>3104</v>
      </c>
      <c r="AW1051" s="103"/>
      <c r="BI1051"/>
    </row>
    <row r="1052" spans="38:61" ht="15" x14ac:dyDescent="0.25">
      <c r="AL1052" s="93" t="s">
        <v>3105</v>
      </c>
      <c r="AM1052" s="92" t="s">
        <v>3106</v>
      </c>
      <c r="AW1052" s="103"/>
      <c r="BI1052"/>
    </row>
    <row r="1053" spans="38:61" ht="15" x14ac:dyDescent="0.25">
      <c r="AL1053" s="93" t="s">
        <v>3107</v>
      </c>
      <c r="AM1053" s="92" t="s">
        <v>3108</v>
      </c>
      <c r="AW1053" s="103"/>
      <c r="BI1053"/>
    </row>
    <row r="1054" spans="38:61" ht="15" x14ac:dyDescent="0.25">
      <c r="AL1054" s="93" t="s">
        <v>3109</v>
      </c>
      <c r="AM1054" s="92" t="s">
        <v>3110</v>
      </c>
      <c r="AW1054" s="103"/>
      <c r="BI1054"/>
    </row>
    <row r="1055" spans="38:61" ht="15" x14ac:dyDescent="0.25">
      <c r="AL1055" s="93" t="s">
        <v>3111</v>
      </c>
      <c r="AM1055" s="92" t="s">
        <v>3112</v>
      </c>
      <c r="AW1055" s="103"/>
      <c r="BI1055"/>
    </row>
    <row r="1056" spans="38:61" ht="15" x14ac:dyDescent="0.25">
      <c r="AL1056" s="93" t="s">
        <v>3113</v>
      </c>
      <c r="AM1056" s="92" t="s">
        <v>3114</v>
      </c>
      <c r="AW1056" s="103"/>
      <c r="BI1056"/>
    </row>
    <row r="1057" spans="38:61" ht="15" x14ac:dyDescent="0.25">
      <c r="AL1057" s="93" t="s">
        <v>3115</v>
      </c>
      <c r="AM1057" s="92" t="s">
        <v>3116</v>
      </c>
      <c r="AW1057" s="103"/>
      <c r="BI1057"/>
    </row>
    <row r="1058" spans="38:61" ht="15" x14ac:dyDescent="0.25">
      <c r="AL1058" s="93" t="s">
        <v>3117</v>
      </c>
      <c r="AM1058" s="92" t="s">
        <v>3118</v>
      </c>
      <c r="AW1058" s="103"/>
      <c r="BI1058"/>
    </row>
    <row r="1059" spans="38:61" ht="15" x14ac:dyDescent="0.25">
      <c r="AL1059" s="93" t="s">
        <v>3119</v>
      </c>
      <c r="AM1059" s="92" t="s">
        <v>3120</v>
      </c>
      <c r="AW1059" s="103"/>
      <c r="BI1059"/>
    </row>
    <row r="1060" spans="38:61" ht="15" x14ac:dyDescent="0.25">
      <c r="AL1060" s="93" t="s">
        <v>3121</v>
      </c>
      <c r="AM1060" s="92" t="s">
        <v>3122</v>
      </c>
      <c r="AW1060" s="103"/>
      <c r="BI1060"/>
    </row>
    <row r="1061" spans="38:61" ht="15" x14ac:dyDescent="0.25">
      <c r="AL1061" s="93" t="s">
        <v>3123</v>
      </c>
      <c r="AM1061" s="92" t="s">
        <v>3124</v>
      </c>
      <c r="AW1061" s="103"/>
      <c r="BI1061"/>
    </row>
    <row r="1062" spans="38:61" ht="15" x14ac:dyDescent="0.25">
      <c r="AL1062" s="93" t="s">
        <v>3125</v>
      </c>
      <c r="AM1062" s="92" t="s">
        <v>3126</v>
      </c>
      <c r="AW1062" s="103"/>
      <c r="BI1062"/>
    </row>
    <row r="1063" spans="38:61" ht="15" x14ac:dyDescent="0.25">
      <c r="AL1063" s="93" t="s">
        <v>3127</v>
      </c>
      <c r="AM1063" s="92" t="s">
        <v>3128</v>
      </c>
      <c r="AW1063" s="103"/>
      <c r="BI1063"/>
    </row>
    <row r="1064" spans="38:61" ht="15" x14ac:dyDescent="0.25">
      <c r="AL1064" s="93" t="s">
        <v>3129</v>
      </c>
      <c r="AM1064" s="92" t="s">
        <v>3130</v>
      </c>
      <c r="AW1064" s="103"/>
      <c r="BI1064"/>
    </row>
    <row r="1065" spans="38:61" ht="15" x14ac:dyDescent="0.25">
      <c r="AL1065" s="93" t="s">
        <v>3131</v>
      </c>
      <c r="AM1065" s="92" t="s">
        <v>3132</v>
      </c>
      <c r="AW1065" s="103"/>
      <c r="BI1065"/>
    </row>
    <row r="1066" spans="38:61" ht="15" x14ac:dyDescent="0.25">
      <c r="AL1066" s="93" t="s">
        <v>3133</v>
      </c>
      <c r="AM1066" s="92" t="s">
        <v>3134</v>
      </c>
      <c r="AW1066" s="103"/>
      <c r="BI1066"/>
    </row>
    <row r="1067" spans="38:61" ht="15" x14ac:dyDescent="0.25">
      <c r="AL1067" s="93" t="s">
        <v>3135</v>
      </c>
      <c r="AM1067" s="92" t="s">
        <v>3136</v>
      </c>
      <c r="AW1067" s="103"/>
      <c r="BI1067"/>
    </row>
    <row r="1068" spans="38:61" ht="15" x14ac:dyDescent="0.25">
      <c r="AL1068" s="93" t="s">
        <v>3137</v>
      </c>
      <c r="AM1068" s="92" t="s">
        <v>3138</v>
      </c>
      <c r="AW1068" s="103"/>
      <c r="BI1068"/>
    </row>
    <row r="1069" spans="38:61" ht="15" x14ac:dyDescent="0.25">
      <c r="AL1069" s="93" t="s">
        <v>3139</v>
      </c>
      <c r="AM1069" s="92" t="s">
        <v>3140</v>
      </c>
      <c r="AW1069" s="103"/>
      <c r="BI1069"/>
    </row>
    <row r="1070" spans="38:61" ht="15" x14ac:dyDescent="0.25">
      <c r="AL1070" s="93" t="s">
        <v>3141</v>
      </c>
      <c r="AM1070" s="92" t="s">
        <v>3142</v>
      </c>
      <c r="AW1070" s="103"/>
      <c r="BI1070"/>
    </row>
    <row r="1071" spans="38:61" ht="15" x14ac:dyDescent="0.25">
      <c r="AL1071" s="93" t="s">
        <v>3143</v>
      </c>
      <c r="AM1071" s="92" t="s">
        <v>3144</v>
      </c>
      <c r="AW1071" s="103"/>
      <c r="BI1071"/>
    </row>
    <row r="1072" spans="38:61" ht="15" x14ac:dyDescent="0.25">
      <c r="AL1072" s="93" t="s">
        <v>3145</v>
      </c>
      <c r="AM1072" s="92" t="s">
        <v>3146</v>
      </c>
      <c r="AW1072" s="103"/>
      <c r="BI1072"/>
    </row>
    <row r="1073" spans="38:61" ht="15" x14ac:dyDescent="0.25">
      <c r="AL1073" s="93" t="s">
        <v>3147</v>
      </c>
      <c r="AM1073" s="92" t="s">
        <v>3148</v>
      </c>
      <c r="AW1073" s="103"/>
      <c r="BI1073"/>
    </row>
    <row r="1074" spans="38:61" ht="15" x14ac:dyDescent="0.25">
      <c r="AL1074" s="93" t="s">
        <v>3149</v>
      </c>
      <c r="AM1074" s="92" t="s">
        <v>3150</v>
      </c>
      <c r="AW1074" s="103"/>
      <c r="BI1074"/>
    </row>
    <row r="1075" spans="38:61" ht="15" x14ac:dyDescent="0.25">
      <c r="AL1075" s="93" t="s">
        <v>3151</v>
      </c>
      <c r="AM1075" s="92" t="s">
        <v>3152</v>
      </c>
      <c r="AW1075" s="103"/>
      <c r="BI1075"/>
    </row>
    <row r="1076" spans="38:61" ht="15" x14ac:dyDescent="0.25">
      <c r="AL1076" s="93" t="s">
        <v>3153</v>
      </c>
      <c r="AM1076" s="92" t="s">
        <v>3154</v>
      </c>
      <c r="AW1076" s="103"/>
      <c r="BI1076"/>
    </row>
    <row r="1077" spans="38:61" ht="15" x14ac:dyDescent="0.25">
      <c r="AL1077" s="93" t="s">
        <v>3155</v>
      </c>
      <c r="AM1077" s="92" t="s">
        <v>3156</v>
      </c>
      <c r="AW1077" s="103"/>
      <c r="BI1077"/>
    </row>
    <row r="1078" spans="38:61" ht="15" x14ac:dyDescent="0.25">
      <c r="AL1078" s="93" t="s">
        <v>3157</v>
      </c>
      <c r="AM1078" s="92" t="s">
        <v>3158</v>
      </c>
      <c r="AW1078" s="103"/>
      <c r="BI1078"/>
    </row>
    <row r="1079" spans="38:61" ht="15" x14ac:dyDescent="0.25">
      <c r="AL1079" s="93" t="s">
        <v>3159</v>
      </c>
      <c r="AM1079" s="92" t="s">
        <v>3160</v>
      </c>
      <c r="AW1079" s="103"/>
      <c r="BI1079"/>
    </row>
    <row r="1080" spans="38:61" ht="15" x14ac:dyDescent="0.25">
      <c r="AL1080" s="93" t="s">
        <v>3161</v>
      </c>
      <c r="AM1080" s="92" t="s">
        <v>3162</v>
      </c>
      <c r="AW1080" s="103"/>
      <c r="BI1080"/>
    </row>
    <row r="1081" spans="38:61" ht="15" x14ac:dyDescent="0.25">
      <c r="AL1081" s="93" t="s">
        <v>3163</v>
      </c>
      <c r="AM1081" s="92" t="s">
        <v>3164</v>
      </c>
      <c r="AW1081" s="103"/>
      <c r="BI1081"/>
    </row>
    <row r="1082" spans="38:61" ht="15" x14ac:dyDescent="0.25">
      <c r="AL1082" s="93" t="s">
        <v>3165</v>
      </c>
      <c r="AM1082" s="92" t="s">
        <v>3166</v>
      </c>
      <c r="AW1082" s="103"/>
      <c r="BI1082"/>
    </row>
    <row r="1083" spans="38:61" ht="15" x14ac:dyDescent="0.25">
      <c r="AL1083" s="93" t="s">
        <v>3167</v>
      </c>
      <c r="AM1083" s="92" t="s">
        <v>3168</v>
      </c>
      <c r="AW1083" s="103"/>
      <c r="BI1083"/>
    </row>
    <row r="1084" spans="38:61" ht="15" x14ac:dyDescent="0.25">
      <c r="AL1084" s="93" t="s">
        <v>3169</v>
      </c>
      <c r="AM1084" s="92" t="s">
        <v>3170</v>
      </c>
      <c r="AW1084" s="103"/>
      <c r="BI1084"/>
    </row>
    <row r="1085" spans="38:61" ht="15" x14ac:dyDescent="0.25">
      <c r="AL1085" s="93" t="s">
        <v>3171</v>
      </c>
      <c r="AM1085" s="92" t="s">
        <v>3172</v>
      </c>
      <c r="AW1085" s="103"/>
      <c r="BI1085"/>
    </row>
    <row r="1086" spans="38:61" ht="15" x14ac:dyDescent="0.25">
      <c r="AL1086" s="93" t="s">
        <v>3173</v>
      </c>
      <c r="AM1086" s="92" t="s">
        <v>3174</v>
      </c>
      <c r="AW1086" s="103"/>
      <c r="BI1086"/>
    </row>
    <row r="1087" spans="38:61" ht="15" x14ac:dyDescent="0.25">
      <c r="AL1087" s="93" t="s">
        <v>3175</v>
      </c>
      <c r="AM1087" s="92" t="s">
        <v>3176</v>
      </c>
      <c r="AW1087" s="103"/>
      <c r="BI1087"/>
    </row>
    <row r="1088" spans="38:61" ht="15" x14ac:dyDescent="0.25">
      <c r="AL1088" s="93" t="s">
        <v>3177</v>
      </c>
      <c r="AM1088" s="92" t="s">
        <v>3178</v>
      </c>
      <c r="AW1088" s="103"/>
      <c r="BI1088"/>
    </row>
    <row r="1089" spans="38:61" ht="15" x14ac:dyDescent="0.25">
      <c r="AL1089" s="93" t="s">
        <v>3179</v>
      </c>
      <c r="AM1089" s="92" t="s">
        <v>3180</v>
      </c>
      <c r="AW1089" s="103"/>
      <c r="BI1089"/>
    </row>
    <row r="1090" spans="38:61" ht="15" x14ac:dyDescent="0.25">
      <c r="AL1090" s="93" t="s">
        <v>3181</v>
      </c>
      <c r="AM1090" s="92" t="s">
        <v>3182</v>
      </c>
      <c r="AW1090" s="103"/>
      <c r="BI1090"/>
    </row>
    <row r="1091" spans="38:61" ht="15" x14ac:dyDescent="0.25">
      <c r="AL1091" s="93" t="s">
        <v>3183</v>
      </c>
      <c r="AM1091" s="92" t="s">
        <v>3184</v>
      </c>
      <c r="AW1091" s="103"/>
      <c r="BI1091"/>
    </row>
    <row r="1092" spans="38:61" ht="15" x14ac:dyDescent="0.25">
      <c r="AL1092" s="93" t="s">
        <v>3185</v>
      </c>
      <c r="AM1092" s="92" t="s">
        <v>3186</v>
      </c>
      <c r="AW1092" s="103"/>
      <c r="BI1092"/>
    </row>
    <row r="1093" spans="38:61" ht="15" x14ac:dyDescent="0.25">
      <c r="AL1093" s="93" t="s">
        <v>3187</v>
      </c>
      <c r="AM1093" s="92" t="s">
        <v>3188</v>
      </c>
      <c r="AW1093" s="103"/>
      <c r="BI1093"/>
    </row>
    <row r="1094" spans="38:61" ht="15" x14ac:dyDescent="0.25">
      <c r="AL1094" s="93" t="s">
        <v>3189</v>
      </c>
      <c r="AM1094" s="92" t="s">
        <v>3190</v>
      </c>
      <c r="AW1094" s="103"/>
      <c r="BI1094"/>
    </row>
    <row r="1095" spans="38:61" ht="15" x14ac:dyDescent="0.25">
      <c r="AL1095" s="93" t="s">
        <v>3191</v>
      </c>
      <c r="AM1095" s="92" t="s">
        <v>3192</v>
      </c>
      <c r="AW1095" s="103"/>
      <c r="BI1095"/>
    </row>
    <row r="1096" spans="38:61" ht="15" x14ac:dyDescent="0.25">
      <c r="AL1096" s="93" t="s">
        <v>3193</v>
      </c>
      <c r="AM1096" s="92" t="s">
        <v>3194</v>
      </c>
      <c r="AW1096" s="103"/>
      <c r="BI1096"/>
    </row>
    <row r="1097" spans="38:61" ht="15" x14ac:dyDescent="0.25">
      <c r="AL1097" s="93" t="s">
        <v>3195</v>
      </c>
      <c r="AM1097" s="92" t="s">
        <v>3196</v>
      </c>
      <c r="AW1097" s="103"/>
      <c r="BI1097"/>
    </row>
    <row r="1098" spans="38:61" ht="15" x14ac:dyDescent="0.25">
      <c r="AL1098" s="93" t="s">
        <v>3197</v>
      </c>
      <c r="AM1098" s="92" t="s">
        <v>3198</v>
      </c>
      <c r="AW1098" s="103"/>
      <c r="BI1098"/>
    </row>
    <row r="1099" spans="38:61" ht="15" x14ac:dyDescent="0.25">
      <c r="AL1099" s="93" t="s">
        <v>3199</v>
      </c>
      <c r="AM1099" s="92" t="s">
        <v>3200</v>
      </c>
      <c r="AW1099" s="103"/>
      <c r="BI1099"/>
    </row>
    <row r="1100" spans="38:61" ht="15" x14ac:dyDescent="0.25">
      <c r="AL1100" s="93" t="s">
        <v>3201</v>
      </c>
      <c r="AM1100" s="92" t="s">
        <v>3202</v>
      </c>
      <c r="AW1100" s="103"/>
      <c r="BI1100"/>
    </row>
    <row r="1101" spans="38:61" ht="15" x14ac:dyDescent="0.25">
      <c r="AL1101" s="93" t="s">
        <v>3203</v>
      </c>
      <c r="AM1101" s="92" t="s">
        <v>3204</v>
      </c>
      <c r="AW1101" s="103"/>
      <c r="BI1101"/>
    </row>
    <row r="1102" spans="38:61" ht="15" x14ac:dyDescent="0.25">
      <c r="AL1102" s="93" t="s">
        <v>3205</v>
      </c>
      <c r="AM1102" s="92" t="s">
        <v>3206</v>
      </c>
      <c r="AW1102" s="103"/>
      <c r="BI1102"/>
    </row>
    <row r="1103" spans="38:61" ht="15" x14ac:dyDescent="0.25">
      <c r="AL1103" s="93" t="s">
        <v>3207</v>
      </c>
      <c r="AM1103" s="92" t="s">
        <v>3208</v>
      </c>
      <c r="AW1103" s="103"/>
      <c r="BI1103"/>
    </row>
    <row r="1104" spans="38:61" ht="15" x14ac:dyDescent="0.25">
      <c r="AL1104" s="93" t="s">
        <v>3209</v>
      </c>
      <c r="AM1104" s="92" t="s">
        <v>3210</v>
      </c>
      <c r="AW1104" s="103"/>
      <c r="BI1104"/>
    </row>
    <row r="1105" spans="38:61" ht="15" x14ac:dyDescent="0.25">
      <c r="AL1105" s="93" t="s">
        <v>3211</v>
      </c>
      <c r="AM1105" s="92" t="s">
        <v>3212</v>
      </c>
      <c r="AW1105" s="103"/>
      <c r="BI1105"/>
    </row>
    <row r="1106" spans="38:61" ht="15" x14ac:dyDescent="0.25">
      <c r="AL1106" s="93" t="s">
        <v>3213</v>
      </c>
      <c r="AM1106" s="92" t="s">
        <v>3214</v>
      </c>
      <c r="AW1106" s="103"/>
      <c r="BI1106"/>
    </row>
    <row r="1107" spans="38:61" ht="15" x14ac:dyDescent="0.25">
      <c r="AL1107" s="93" t="s">
        <v>3215</v>
      </c>
      <c r="AM1107" s="92" t="s">
        <v>3216</v>
      </c>
      <c r="AW1107" s="103"/>
      <c r="BI1107"/>
    </row>
    <row r="1108" spans="38:61" ht="15" x14ac:dyDescent="0.25">
      <c r="AL1108" s="93" t="s">
        <v>3217</v>
      </c>
      <c r="AM1108" s="92" t="s">
        <v>3218</v>
      </c>
      <c r="AW1108" s="103"/>
      <c r="BI1108"/>
    </row>
    <row r="1109" spans="38:61" ht="15" x14ac:dyDescent="0.25">
      <c r="AL1109" s="93" t="s">
        <v>3219</v>
      </c>
      <c r="AM1109" s="92" t="s">
        <v>3220</v>
      </c>
      <c r="AW1109" s="103"/>
      <c r="BI1109"/>
    </row>
    <row r="1110" spans="38:61" ht="15" x14ac:dyDescent="0.25">
      <c r="AL1110" s="93" t="s">
        <v>3221</v>
      </c>
      <c r="AM1110" s="92" t="s">
        <v>3222</v>
      </c>
      <c r="AW1110" s="103"/>
      <c r="BI1110"/>
    </row>
    <row r="1111" spans="38:61" ht="15" x14ac:dyDescent="0.25">
      <c r="AL1111" s="93" t="s">
        <v>3223</v>
      </c>
      <c r="AM1111" s="92" t="s">
        <v>3224</v>
      </c>
      <c r="AW1111" s="103"/>
      <c r="BI1111"/>
    </row>
    <row r="1112" spans="38:61" ht="15" x14ac:dyDescent="0.25">
      <c r="AL1112" s="93" t="s">
        <v>3225</v>
      </c>
      <c r="AM1112" s="92" t="s">
        <v>3226</v>
      </c>
      <c r="AW1112" s="103"/>
      <c r="BI1112"/>
    </row>
    <row r="1113" spans="38:61" ht="15" x14ac:dyDescent="0.25">
      <c r="AL1113" s="93" t="s">
        <v>3227</v>
      </c>
      <c r="AM1113" s="92" t="s">
        <v>3228</v>
      </c>
      <c r="AW1113" s="103"/>
      <c r="BI1113"/>
    </row>
    <row r="1114" spans="38:61" ht="15" x14ac:dyDescent="0.25">
      <c r="AL1114" s="93" t="s">
        <v>3229</v>
      </c>
      <c r="AM1114" s="92" t="s">
        <v>3230</v>
      </c>
      <c r="AW1114" s="103"/>
      <c r="BI1114"/>
    </row>
    <row r="1115" spans="38:61" ht="15" x14ac:dyDescent="0.25">
      <c r="AL1115" s="93" t="s">
        <v>3231</v>
      </c>
      <c r="AM1115" s="92" t="s">
        <v>3232</v>
      </c>
      <c r="AW1115" s="103"/>
      <c r="BI1115"/>
    </row>
    <row r="1116" spans="38:61" ht="15" x14ac:dyDescent="0.25">
      <c r="AL1116" s="93" t="s">
        <v>3233</v>
      </c>
      <c r="AM1116" s="92" t="s">
        <v>3234</v>
      </c>
      <c r="AW1116" s="103"/>
      <c r="BI1116"/>
    </row>
    <row r="1117" spans="38:61" ht="15" x14ac:dyDescent="0.25">
      <c r="AL1117" s="93" t="s">
        <v>3235</v>
      </c>
      <c r="AM1117" s="92" t="s">
        <v>3236</v>
      </c>
      <c r="AW1117" s="103"/>
      <c r="BI1117"/>
    </row>
    <row r="1118" spans="38:61" ht="15" x14ac:dyDescent="0.25">
      <c r="AL1118" s="93" t="s">
        <v>3237</v>
      </c>
      <c r="AM1118" s="92" t="s">
        <v>3238</v>
      </c>
      <c r="AW1118" s="103"/>
      <c r="BI1118"/>
    </row>
    <row r="1119" spans="38:61" ht="15" x14ac:dyDescent="0.25">
      <c r="AL1119" s="93" t="s">
        <v>3239</v>
      </c>
      <c r="AM1119" s="92" t="s">
        <v>3240</v>
      </c>
      <c r="AW1119" s="103"/>
      <c r="BI1119"/>
    </row>
    <row r="1120" spans="38:61" ht="15" x14ac:dyDescent="0.25">
      <c r="AL1120" s="93" t="s">
        <v>3241</v>
      </c>
      <c r="AM1120" s="92" t="s">
        <v>3242</v>
      </c>
      <c r="AW1120" s="103"/>
      <c r="BI1120"/>
    </row>
    <row r="1121" spans="38:61" ht="15" x14ac:dyDescent="0.25">
      <c r="AL1121" s="93" t="s">
        <v>3243</v>
      </c>
      <c r="AM1121" s="92" t="s">
        <v>3244</v>
      </c>
      <c r="AW1121" s="103"/>
      <c r="BI1121"/>
    </row>
    <row r="1122" spans="38:61" ht="15" x14ac:dyDescent="0.25">
      <c r="AL1122" s="93" t="s">
        <v>3245</v>
      </c>
      <c r="AM1122" s="92" t="s">
        <v>3246</v>
      </c>
      <c r="AW1122" s="103"/>
      <c r="BI1122"/>
    </row>
    <row r="1123" spans="38:61" ht="15" x14ac:dyDescent="0.25">
      <c r="AL1123" s="93" t="s">
        <v>3247</v>
      </c>
      <c r="AM1123" s="92" t="s">
        <v>3248</v>
      </c>
      <c r="AW1123" s="103"/>
      <c r="BI1123"/>
    </row>
    <row r="1124" spans="38:61" ht="15" x14ac:dyDescent="0.25">
      <c r="AL1124" s="93" t="s">
        <v>3249</v>
      </c>
      <c r="AM1124" s="92" t="s">
        <v>3250</v>
      </c>
      <c r="AW1124" s="103"/>
      <c r="BI1124"/>
    </row>
    <row r="1125" spans="38:61" ht="15" x14ac:dyDescent="0.25">
      <c r="AL1125" s="93" t="s">
        <v>3251</v>
      </c>
      <c r="AM1125" s="92" t="s">
        <v>3252</v>
      </c>
      <c r="AW1125" s="103"/>
      <c r="BI1125"/>
    </row>
    <row r="1126" spans="38:61" ht="15" x14ac:dyDescent="0.25">
      <c r="AL1126" s="93" t="s">
        <v>3253</v>
      </c>
      <c r="AM1126" s="92" t="s">
        <v>3254</v>
      </c>
      <c r="AW1126" s="103"/>
      <c r="BI1126"/>
    </row>
    <row r="1127" spans="38:61" ht="15" x14ac:dyDescent="0.25">
      <c r="AL1127" s="93" t="s">
        <v>3255</v>
      </c>
      <c r="AM1127" s="92" t="s">
        <v>3256</v>
      </c>
      <c r="AW1127" s="103"/>
      <c r="BI1127"/>
    </row>
    <row r="1128" spans="38:61" ht="15" x14ac:dyDescent="0.25">
      <c r="AL1128" s="93" t="s">
        <v>3257</v>
      </c>
      <c r="AM1128" s="92" t="s">
        <v>3258</v>
      </c>
      <c r="AW1128" s="103"/>
      <c r="BI1128"/>
    </row>
    <row r="1129" spans="38:61" ht="15" x14ac:dyDescent="0.25">
      <c r="AL1129" s="93" t="s">
        <v>3259</v>
      </c>
      <c r="AM1129" s="92" t="s">
        <v>3260</v>
      </c>
      <c r="AW1129" s="103"/>
      <c r="BI1129"/>
    </row>
    <row r="1130" spans="38:61" ht="15" x14ac:dyDescent="0.25">
      <c r="AL1130" s="93" t="s">
        <v>3261</v>
      </c>
      <c r="AM1130" s="92" t="s">
        <v>3262</v>
      </c>
      <c r="AW1130" s="103"/>
      <c r="BI1130"/>
    </row>
    <row r="1131" spans="38:61" ht="15" x14ac:dyDescent="0.25">
      <c r="AL1131" s="93" t="s">
        <v>3263</v>
      </c>
      <c r="AM1131" s="92" t="s">
        <v>3264</v>
      </c>
      <c r="AW1131" s="103"/>
      <c r="BI1131"/>
    </row>
    <row r="1132" spans="38:61" ht="15" x14ac:dyDescent="0.25">
      <c r="AL1132" s="93" t="s">
        <v>3265</v>
      </c>
      <c r="AM1132" s="92" t="s">
        <v>3266</v>
      </c>
      <c r="AW1132" s="103"/>
      <c r="BI1132"/>
    </row>
    <row r="1133" spans="38:61" ht="15" x14ac:dyDescent="0.25">
      <c r="AL1133" s="93" t="s">
        <v>3267</v>
      </c>
      <c r="AM1133" s="92" t="s">
        <v>3268</v>
      </c>
      <c r="AW1133" s="103"/>
      <c r="BI1133"/>
    </row>
    <row r="1134" spans="38:61" ht="15" x14ac:dyDescent="0.25">
      <c r="AL1134" s="93" t="s">
        <v>3269</v>
      </c>
      <c r="AM1134" s="92" t="s">
        <v>3270</v>
      </c>
      <c r="AW1134" s="103"/>
      <c r="BI1134"/>
    </row>
    <row r="1135" spans="38:61" ht="15" x14ac:dyDescent="0.25">
      <c r="AL1135" s="93" t="s">
        <v>3271</v>
      </c>
      <c r="AM1135" s="92" t="s">
        <v>3272</v>
      </c>
      <c r="AW1135" s="103"/>
      <c r="BI1135"/>
    </row>
    <row r="1136" spans="38:61" ht="15" x14ac:dyDescent="0.25">
      <c r="AL1136" s="93" t="s">
        <v>3273</v>
      </c>
      <c r="AM1136" s="92" t="s">
        <v>3274</v>
      </c>
      <c r="AW1136" s="103"/>
      <c r="BI1136"/>
    </row>
    <row r="1137" spans="38:61" ht="15" x14ac:dyDescent="0.25">
      <c r="AL1137" s="93" t="s">
        <v>3275</v>
      </c>
      <c r="AM1137" s="92" t="s">
        <v>3276</v>
      </c>
      <c r="AW1137" s="103"/>
      <c r="BI1137"/>
    </row>
    <row r="1138" spans="38:61" ht="15" x14ac:dyDescent="0.25">
      <c r="AL1138" s="93" t="s">
        <v>3277</v>
      </c>
      <c r="AM1138" s="92" t="s">
        <v>3278</v>
      </c>
      <c r="AW1138" s="103"/>
      <c r="BI1138"/>
    </row>
    <row r="1139" spans="38:61" ht="15" x14ac:dyDescent="0.25">
      <c r="AL1139" s="93" t="s">
        <v>3279</v>
      </c>
      <c r="AM1139" s="92" t="s">
        <v>3280</v>
      </c>
      <c r="AW1139" s="103"/>
      <c r="BI1139"/>
    </row>
    <row r="1140" spans="38:61" ht="15" x14ac:dyDescent="0.25">
      <c r="AL1140" s="93" t="s">
        <v>3281</v>
      </c>
      <c r="AM1140" s="92" t="s">
        <v>3282</v>
      </c>
      <c r="AW1140" s="103"/>
      <c r="BI1140"/>
    </row>
    <row r="1141" spans="38:61" ht="15" x14ac:dyDescent="0.25">
      <c r="AL1141" s="93" t="s">
        <v>3283</v>
      </c>
      <c r="AM1141" s="92" t="s">
        <v>3284</v>
      </c>
      <c r="AW1141" s="103"/>
      <c r="BI1141"/>
    </row>
    <row r="1142" spans="38:61" ht="15" x14ac:dyDescent="0.25">
      <c r="AL1142" s="93" t="s">
        <v>3285</v>
      </c>
      <c r="AM1142" s="92" t="s">
        <v>3286</v>
      </c>
      <c r="AW1142" s="103"/>
      <c r="BI1142"/>
    </row>
    <row r="1143" spans="38:61" ht="15" x14ac:dyDescent="0.25">
      <c r="AL1143" s="93" t="s">
        <v>3287</v>
      </c>
      <c r="AM1143" s="92" t="s">
        <v>3288</v>
      </c>
      <c r="AW1143" s="103"/>
      <c r="BI1143"/>
    </row>
    <row r="1144" spans="38:61" ht="15" x14ac:dyDescent="0.25">
      <c r="AL1144" s="93" t="s">
        <v>3289</v>
      </c>
      <c r="AM1144" s="92" t="s">
        <v>3290</v>
      </c>
      <c r="AW1144" s="103"/>
      <c r="BI1144"/>
    </row>
    <row r="1145" spans="38:61" ht="15" x14ac:dyDescent="0.25">
      <c r="AL1145" s="93" t="s">
        <v>3291</v>
      </c>
      <c r="AM1145" s="92" t="s">
        <v>3292</v>
      </c>
      <c r="AW1145" s="103"/>
      <c r="BI1145"/>
    </row>
    <row r="1146" spans="38:61" ht="15" x14ac:dyDescent="0.25">
      <c r="AL1146" s="93" t="s">
        <v>3293</v>
      </c>
      <c r="AM1146" s="92" t="s">
        <v>3294</v>
      </c>
      <c r="AW1146" s="103"/>
      <c r="BI1146"/>
    </row>
    <row r="1147" spans="38:61" ht="15" x14ac:dyDescent="0.25">
      <c r="AL1147" s="93" t="s">
        <v>3295</v>
      </c>
      <c r="AM1147" s="92" t="s">
        <v>3296</v>
      </c>
      <c r="AW1147" s="103"/>
      <c r="BI1147"/>
    </row>
    <row r="1148" spans="38:61" ht="15" x14ac:dyDescent="0.25">
      <c r="AL1148" s="93" t="s">
        <v>3297</v>
      </c>
      <c r="AM1148" s="92" t="s">
        <v>3298</v>
      </c>
      <c r="AW1148" s="103"/>
      <c r="BI1148"/>
    </row>
    <row r="1149" spans="38:61" ht="15" x14ac:dyDescent="0.25">
      <c r="AL1149" s="93" t="s">
        <v>3299</v>
      </c>
      <c r="AM1149" s="92" t="s">
        <v>3300</v>
      </c>
      <c r="AW1149" s="103"/>
      <c r="BI1149"/>
    </row>
    <row r="1150" spans="38:61" ht="15" x14ac:dyDescent="0.25">
      <c r="AL1150" s="93" t="s">
        <v>3301</v>
      </c>
      <c r="AM1150" s="92" t="s">
        <v>3302</v>
      </c>
      <c r="AW1150" s="103"/>
      <c r="BI1150"/>
    </row>
    <row r="1151" spans="38:61" ht="15" x14ac:dyDescent="0.25">
      <c r="AL1151" s="93" t="s">
        <v>3303</v>
      </c>
      <c r="AM1151" s="92" t="s">
        <v>3304</v>
      </c>
      <c r="AW1151" s="103"/>
      <c r="BI1151"/>
    </row>
    <row r="1152" spans="38:61" ht="15" x14ac:dyDescent="0.25">
      <c r="AL1152" s="93" t="s">
        <v>3305</v>
      </c>
      <c r="AM1152" s="92" t="s">
        <v>3306</v>
      </c>
      <c r="AW1152" s="103"/>
      <c r="BI1152"/>
    </row>
    <row r="1153" spans="38:61" ht="15" x14ac:dyDescent="0.25">
      <c r="AL1153" s="93" t="s">
        <v>3307</v>
      </c>
      <c r="AM1153" s="92" t="s">
        <v>3308</v>
      </c>
      <c r="AW1153" s="103"/>
      <c r="BI1153"/>
    </row>
    <row r="1154" spans="38:61" ht="15" x14ac:dyDescent="0.25">
      <c r="AL1154" s="93" t="s">
        <v>3309</v>
      </c>
      <c r="AM1154" s="92" t="s">
        <v>3310</v>
      </c>
      <c r="AW1154" s="103"/>
      <c r="BI1154"/>
    </row>
    <row r="1155" spans="38:61" ht="15" x14ac:dyDescent="0.25">
      <c r="AL1155" s="93" t="s">
        <v>3311</v>
      </c>
      <c r="AM1155" s="92" t="s">
        <v>3312</v>
      </c>
      <c r="AW1155" s="103"/>
      <c r="BI1155"/>
    </row>
    <row r="1156" spans="38:61" ht="15" x14ac:dyDescent="0.25">
      <c r="AL1156" s="93" t="s">
        <v>3313</v>
      </c>
      <c r="AM1156" s="92" t="s">
        <v>3314</v>
      </c>
      <c r="AW1156" s="103"/>
      <c r="BI1156"/>
    </row>
    <row r="1157" spans="38:61" ht="15" x14ac:dyDescent="0.25">
      <c r="AL1157" s="93" t="s">
        <v>3315</v>
      </c>
      <c r="AM1157" s="92" t="s">
        <v>3316</v>
      </c>
      <c r="AW1157" s="103"/>
      <c r="BI1157"/>
    </row>
    <row r="1158" spans="38:61" ht="15" x14ac:dyDescent="0.25">
      <c r="AL1158" s="93" t="s">
        <v>3317</v>
      </c>
      <c r="AM1158" s="92" t="s">
        <v>3318</v>
      </c>
      <c r="AW1158" s="103"/>
      <c r="BI1158"/>
    </row>
    <row r="1159" spans="38:61" ht="15" x14ac:dyDescent="0.25">
      <c r="AL1159" s="93" t="s">
        <v>3319</v>
      </c>
      <c r="AM1159" s="92" t="s">
        <v>3320</v>
      </c>
      <c r="AW1159" s="103"/>
      <c r="BI1159"/>
    </row>
    <row r="1160" spans="38:61" ht="15" x14ac:dyDescent="0.25">
      <c r="AL1160" s="93" t="s">
        <v>3321</v>
      </c>
      <c r="AM1160" s="92" t="s">
        <v>3322</v>
      </c>
      <c r="AW1160" s="103"/>
      <c r="BI1160"/>
    </row>
    <row r="1161" spans="38:61" ht="15" x14ac:dyDescent="0.25">
      <c r="AL1161" s="93" t="s">
        <v>3323</v>
      </c>
      <c r="AM1161" s="92" t="s">
        <v>3324</v>
      </c>
      <c r="AW1161" s="103"/>
      <c r="BI1161"/>
    </row>
    <row r="1162" spans="38:61" ht="15" x14ac:dyDescent="0.25">
      <c r="AL1162" s="93" t="s">
        <v>3325</v>
      </c>
      <c r="AM1162" s="92" t="s">
        <v>3326</v>
      </c>
      <c r="AW1162" s="103"/>
      <c r="BI1162"/>
    </row>
    <row r="1163" spans="38:61" ht="15" x14ac:dyDescent="0.25">
      <c r="AL1163" s="93" t="s">
        <v>3327</v>
      </c>
      <c r="AM1163" s="92" t="s">
        <v>3328</v>
      </c>
      <c r="AW1163" s="103"/>
      <c r="BI1163"/>
    </row>
    <row r="1164" spans="38:61" ht="15" x14ac:dyDescent="0.25">
      <c r="AL1164" s="93" t="s">
        <v>3329</v>
      </c>
      <c r="AM1164" s="92" t="s">
        <v>3330</v>
      </c>
      <c r="AW1164" s="103"/>
      <c r="BI1164"/>
    </row>
    <row r="1165" spans="38:61" ht="15" x14ac:dyDescent="0.25">
      <c r="AL1165" s="93" t="s">
        <v>3331</v>
      </c>
      <c r="AM1165" s="92" t="s">
        <v>3332</v>
      </c>
      <c r="AW1165" s="103"/>
      <c r="BI1165"/>
    </row>
    <row r="1166" spans="38:61" ht="15" x14ac:dyDescent="0.25">
      <c r="AL1166" s="93" t="s">
        <v>3333</v>
      </c>
      <c r="AM1166" s="92" t="s">
        <v>3334</v>
      </c>
      <c r="AW1166" s="103"/>
      <c r="BI1166"/>
    </row>
    <row r="1167" spans="38:61" ht="15" x14ac:dyDescent="0.25">
      <c r="AL1167" s="93" t="s">
        <v>3335</v>
      </c>
      <c r="AM1167" s="92" t="s">
        <v>3336</v>
      </c>
      <c r="AW1167" s="103"/>
      <c r="BI1167"/>
    </row>
    <row r="1168" spans="38:61" ht="15" x14ac:dyDescent="0.25">
      <c r="AL1168" s="93" t="s">
        <v>3337</v>
      </c>
      <c r="AM1168" s="92" t="s">
        <v>3338</v>
      </c>
      <c r="AW1168" s="103"/>
      <c r="BI1168"/>
    </row>
    <row r="1169" spans="38:61" ht="15" x14ac:dyDescent="0.25">
      <c r="AL1169" s="93" t="s">
        <v>3339</v>
      </c>
      <c r="AM1169" s="92" t="s">
        <v>3340</v>
      </c>
      <c r="AW1169" s="103"/>
      <c r="BI1169"/>
    </row>
    <row r="1170" spans="38:61" ht="15" x14ac:dyDescent="0.25">
      <c r="AL1170" s="93" t="s">
        <v>3341</v>
      </c>
      <c r="AM1170" s="92" t="s">
        <v>3342</v>
      </c>
      <c r="AW1170" s="103"/>
      <c r="BI1170"/>
    </row>
    <row r="1171" spans="38:61" ht="15" x14ac:dyDescent="0.25">
      <c r="AL1171" s="93" t="s">
        <v>3343</v>
      </c>
      <c r="AM1171" s="92" t="s">
        <v>3344</v>
      </c>
      <c r="AW1171" s="103"/>
      <c r="BI1171"/>
    </row>
    <row r="1172" spans="38:61" ht="15" x14ac:dyDescent="0.25">
      <c r="AL1172" s="93" t="s">
        <v>3345</v>
      </c>
      <c r="AM1172" s="92" t="s">
        <v>3346</v>
      </c>
      <c r="AW1172" s="103"/>
      <c r="BI1172"/>
    </row>
    <row r="1173" spans="38:61" ht="15" x14ac:dyDescent="0.25">
      <c r="AL1173" s="93" t="s">
        <v>3347</v>
      </c>
      <c r="AM1173" s="92" t="s">
        <v>3348</v>
      </c>
      <c r="AW1173" s="103"/>
      <c r="BI1173"/>
    </row>
    <row r="1174" spans="38:61" ht="15" x14ac:dyDescent="0.25">
      <c r="AL1174" s="93" t="s">
        <v>3349</v>
      </c>
      <c r="AM1174" s="92" t="s">
        <v>3350</v>
      </c>
      <c r="AW1174" s="103"/>
      <c r="BI1174"/>
    </row>
    <row r="1175" spans="38:61" ht="15" x14ac:dyDescent="0.25">
      <c r="AL1175" s="93" t="s">
        <v>3351</v>
      </c>
      <c r="AM1175" s="92" t="s">
        <v>3352</v>
      </c>
      <c r="AW1175" s="103"/>
      <c r="BI1175"/>
    </row>
    <row r="1176" spans="38:61" ht="15" x14ac:dyDescent="0.25">
      <c r="AL1176" s="93" t="s">
        <v>3353</v>
      </c>
      <c r="AM1176" s="92" t="s">
        <v>3354</v>
      </c>
      <c r="AW1176" s="103"/>
      <c r="BI1176"/>
    </row>
    <row r="1177" spans="38:61" ht="15" x14ac:dyDescent="0.25">
      <c r="AL1177" s="93" t="s">
        <v>3355</v>
      </c>
      <c r="AM1177" s="92" t="s">
        <v>3356</v>
      </c>
      <c r="AW1177" s="103"/>
      <c r="BI1177"/>
    </row>
    <row r="1178" spans="38:61" ht="15" x14ac:dyDescent="0.25">
      <c r="AL1178" s="93" t="s">
        <v>3357</v>
      </c>
      <c r="AM1178" s="92" t="s">
        <v>3358</v>
      </c>
      <c r="AW1178" s="103"/>
      <c r="BI1178"/>
    </row>
    <row r="1179" spans="38:61" ht="15" x14ac:dyDescent="0.25">
      <c r="AL1179" s="93" t="s">
        <v>3359</v>
      </c>
      <c r="AM1179" s="92" t="s">
        <v>3360</v>
      </c>
      <c r="AW1179" s="103"/>
      <c r="BI1179"/>
    </row>
    <row r="1180" spans="38:61" ht="15" x14ac:dyDescent="0.25">
      <c r="AL1180" s="93" t="s">
        <v>3361</v>
      </c>
      <c r="AM1180" s="92" t="s">
        <v>3362</v>
      </c>
      <c r="AW1180" s="103"/>
      <c r="BI1180"/>
    </row>
    <row r="1181" spans="38:61" ht="15" x14ac:dyDescent="0.25">
      <c r="AL1181" s="93" t="s">
        <v>3363</v>
      </c>
      <c r="AM1181" s="92" t="s">
        <v>3364</v>
      </c>
      <c r="AW1181" s="103"/>
      <c r="BI1181"/>
    </row>
    <row r="1182" spans="38:61" ht="15" x14ac:dyDescent="0.25">
      <c r="AL1182" s="93" t="s">
        <v>3365</v>
      </c>
      <c r="AM1182" s="92" t="s">
        <v>3366</v>
      </c>
      <c r="AW1182" s="103"/>
      <c r="BI1182"/>
    </row>
    <row r="1183" spans="38:61" ht="15" x14ac:dyDescent="0.25">
      <c r="AL1183" s="93" t="s">
        <v>3367</v>
      </c>
      <c r="AM1183" s="92" t="s">
        <v>3368</v>
      </c>
      <c r="AW1183" s="103"/>
      <c r="BI1183"/>
    </row>
    <row r="1184" spans="38:61" ht="15" x14ac:dyDescent="0.25">
      <c r="AL1184" s="93" t="s">
        <v>3369</v>
      </c>
      <c r="AM1184" s="92" t="s">
        <v>3370</v>
      </c>
      <c r="AW1184" s="103"/>
      <c r="BI1184"/>
    </row>
    <row r="1185" spans="38:61" ht="15" x14ac:dyDescent="0.25">
      <c r="AL1185" s="93" t="s">
        <v>3371</v>
      </c>
      <c r="AM1185" s="92" t="s">
        <v>3372</v>
      </c>
      <c r="AW1185" s="103"/>
      <c r="BI1185"/>
    </row>
    <row r="1186" spans="38:61" ht="15" x14ac:dyDescent="0.25">
      <c r="AL1186" s="93" t="s">
        <v>3373</v>
      </c>
      <c r="AM1186" s="92" t="s">
        <v>3374</v>
      </c>
      <c r="AW1186" s="103"/>
      <c r="BI1186"/>
    </row>
    <row r="1187" spans="38:61" ht="15" x14ac:dyDescent="0.25">
      <c r="AL1187" s="93" t="s">
        <v>3375</v>
      </c>
      <c r="AM1187" s="92" t="s">
        <v>3376</v>
      </c>
      <c r="AW1187" s="103"/>
      <c r="BI1187"/>
    </row>
    <row r="1188" spans="38:61" ht="15" x14ac:dyDescent="0.25">
      <c r="AL1188" s="93" t="s">
        <v>3377</v>
      </c>
      <c r="AM1188" s="92" t="s">
        <v>3378</v>
      </c>
      <c r="AW1188" s="103"/>
      <c r="BI1188"/>
    </row>
    <row r="1189" spans="38:61" ht="15" x14ac:dyDescent="0.25">
      <c r="AL1189" s="93" t="s">
        <v>3379</v>
      </c>
      <c r="AM1189" s="92" t="s">
        <v>3380</v>
      </c>
      <c r="AW1189" s="103"/>
      <c r="BI1189"/>
    </row>
    <row r="1190" spans="38:61" ht="15" x14ac:dyDescent="0.25">
      <c r="AL1190" s="93" t="s">
        <v>3381</v>
      </c>
      <c r="AM1190" s="92" t="s">
        <v>3382</v>
      </c>
      <c r="AW1190" s="103"/>
      <c r="BI1190"/>
    </row>
    <row r="1191" spans="38:61" ht="15" x14ac:dyDescent="0.25">
      <c r="AL1191" s="93" t="s">
        <v>3383</v>
      </c>
      <c r="AM1191" s="92" t="s">
        <v>3384</v>
      </c>
      <c r="AW1191" s="103"/>
      <c r="BI1191"/>
    </row>
    <row r="1192" spans="38:61" ht="15" x14ac:dyDescent="0.25">
      <c r="AL1192" s="93" t="s">
        <v>3385</v>
      </c>
      <c r="AM1192" s="92" t="s">
        <v>3386</v>
      </c>
      <c r="AW1192" s="103"/>
      <c r="BI1192"/>
    </row>
    <row r="1193" spans="38:61" ht="15" x14ac:dyDescent="0.25">
      <c r="AL1193" s="93" t="s">
        <v>3387</v>
      </c>
      <c r="AM1193" s="92" t="s">
        <v>3388</v>
      </c>
      <c r="AW1193" s="103"/>
      <c r="BI1193"/>
    </row>
    <row r="1194" spans="38:61" ht="15" x14ac:dyDescent="0.25">
      <c r="AL1194" s="93" t="s">
        <v>3389</v>
      </c>
      <c r="AM1194" s="92" t="s">
        <v>3390</v>
      </c>
      <c r="AW1194" s="103"/>
      <c r="BI1194"/>
    </row>
    <row r="1195" spans="38:61" ht="15" x14ac:dyDescent="0.25">
      <c r="AL1195" s="93" t="s">
        <v>3391</v>
      </c>
      <c r="AM1195" s="92" t="s">
        <v>3392</v>
      </c>
      <c r="AW1195" s="103"/>
      <c r="BI1195"/>
    </row>
    <row r="1196" spans="38:61" ht="15" x14ac:dyDescent="0.25">
      <c r="AL1196" s="93" t="s">
        <v>3393</v>
      </c>
      <c r="AM1196" s="92" t="s">
        <v>3394</v>
      </c>
      <c r="AW1196" s="103"/>
      <c r="BI1196"/>
    </row>
    <row r="1197" spans="38:61" ht="15" x14ac:dyDescent="0.25">
      <c r="AL1197" s="93" t="s">
        <v>3395</v>
      </c>
      <c r="AM1197" s="92" t="s">
        <v>3396</v>
      </c>
      <c r="AW1197" s="103"/>
      <c r="BI1197"/>
    </row>
    <row r="1198" spans="38:61" ht="15" x14ac:dyDescent="0.25">
      <c r="AL1198" s="93" t="s">
        <v>3397</v>
      </c>
      <c r="AM1198" s="92" t="s">
        <v>3398</v>
      </c>
      <c r="AW1198" s="103"/>
      <c r="BI1198"/>
    </row>
    <row r="1199" spans="38:61" ht="15" x14ac:dyDescent="0.25">
      <c r="AL1199" s="93" t="s">
        <v>3399</v>
      </c>
      <c r="AM1199" s="92" t="s">
        <v>3400</v>
      </c>
      <c r="AW1199" s="103"/>
      <c r="BI1199"/>
    </row>
    <row r="1200" spans="38:61" ht="15" x14ac:dyDescent="0.25">
      <c r="AL1200" s="93" t="s">
        <v>3401</v>
      </c>
      <c r="AM1200" s="92" t="s">
        <v>3402</v>
      </c>
      <c r="AW1200" s="103"/>
      <c r="BI1200"/>
    </row>
    <row r="1201" spans="38:61" ht="15" x14ac:dyDescent="0.25">
      <c r="AL1201" s="93" t="s">
        <v>3403</v>
      </c>
      <c r="AM1201" s="92" t="s">
        <v>3404</v>
      </c>
      <c r="AW1201" s="103"/>
      <c r="BI1201"/>
    </row>
    <row r="1202" spans="38:61" ht="15" x14ac:dyDescent="0.25">
      <c r="AL1202" s="93" t="s">
        <v>3405</v>
      </c>
      <c r="AM1202" s="92" t="s">
        <v>3406</v>
      </c>
      <c r="AW1202" s="103"/>
      <c r="BI1202"/>
    </row>
    <row r="1203" spans="38:61" ht="15" x14ac:dyDescent="0.25">
      <c r="AL1203" s="93" t="s">
        <v>3407</v>
      </c>
      <c r="AM1203" s="92" t="s">
        <v>3408</v>
      </c>
      <c r="AW1203" s="103"/>
      <c r="BI1203"/>
    </row>
    <row r="1204" spans="38:61" ht="15" x14ac:dyDescent="0.25">
      <c r="AL1204" s="93" t="s">
        <v>3409</v>
      </c>
      <c r="AM1204" s="92" t="s">
        <v>3410</v>
      </c>
      <c r="AW1204" s="103"/>
      <c r="BI1204"/>
    </row>
    <row r="1205" spans="38:61" ht="15" x14ac:dyDescent="0.25">
      <c r="AL1205" s="93" t="s">
        <v>3411</v>
      </c>
      <c r="AM1205" s="92" t="s">
        <v>3412</v>
      </c>
      <c r="AW1205" s="103"/>
      <c r="BI1205"/>
    </row>
    <row r="1206" spans="38:61" ht="15" x14ac:dyDescent="0.25">
      <c r="AL1206" s="93" t="s">
        <v>3413</v>
      </c>
      <c r="AM1206" s="92" t="s">
        <v>3414</v>
      </c>
      <c r="AW1206" s="103"/>
      <c r="BI1206"/>
    </row>
    <row r="1207" spans="38:61" ht="15" x14ac:dyDescent="0.25">
      <c r="AL1207" s="93" t="s">
        <v>3415</v>
      </c>
      <c r="AM1207" s="92" t="s">
        <v>3416</v>
      </c>
      <c r="AW1207" s="103"/>
      <c r="BI1207"/>
    </row>
    <row r="1208" spans="38:61" ht="15" x14ac:dyDescent="0.25">
      <c r="AL1208" s="93" t="s">
        <v>3417</v>
      </c>
      <c r="AM1208" s="92" t="s">
        <v>3418</v>
      </c>
      <c r="AW1208" s="103"/>
      <c r="BI1208"/>
    </row>
    <row r="1209" spans="38:61" ht="15" x14ac:dyDescent="0.25">
      <c r="AL1209" s="93" t="s">
        <v>3419</v>
      </c>
      <c r="AM1209" s="92" t="s">
        <v>3420</v>
      </c>
      <c r="AW1209" s="103"/>
      <c r="BI1209"/>
    </row>
    <row r="1210" spans="38:61" ht="15" x14ac:dyDescent="0.25">
      <c r="AL1210" s="93" t="s">
        <v>3421</v>
      </c>
      <c r="AM1210" s="92" t="s">
        <v>3422</v>
      </c>
      <c r="AW1210" s="103"/>
      <c r="BI1210"/>
    </row>
    <row r="1211" spans="38:61" ht="15" x14ac:dyDescent="0.25">
      <c r="AL1211" s="93" t="s">
        <v>3423</v>
      </c>
      <c r="AM1211" s="92" t="s">
        <v>3424</v>
      </c>
      <c r="AW1211" s="103"/>
      <c r="BI1211"/>
    </row>
    <row r="1212" spans="38:61" ht="15" x14ac:dyDescent="0.25">
      <c r="AL1212" s="93" t="s">
        <v>3425</v>
      </c>
      <c r="AM1212" s="92" t="s">
        <v>3426</v>
      </c>
      <c r="AW1212" s="103"/>
      <c r="BI1212"/>
    </row>
    <row r="1213" spans="38:61" ht="15" x14ac:dyDescent="0.25">
      <c r="AL1213" s="93" t="s">
        <v>3427</v>
      </c>
      <c r="AM1213" s="92" t="s">
        <v>3428</v>
      </c>
      <c r="AW1213" s="103"/>
      <c r="BI1213"/>
    </row>
    <row r="1214" spans="38:61" ht="15" x14ac:dyDescent="0.25">
      <c r="AL1214" s="93" t="s">
        <v>3429</v>
      </c>
      <c r="AM1214" s="92" t="s">
        <v>3430</v>
      </c>
      <c r="AW1214" s="103"/>
      <c r="BI1214"/>
    </row>
    <row r="1215" spans="38:61" ht="15" x14ac:dyDescent="0.25">
      <c r="AL1215" s="93" t="s">
        <v>3431</v>
      </c>
      <c r="AM1215" s="92" t="s">
        <v>3432</v>
      </c>
      <c r="AW1215" s="103"/>
      <c r="BI1215"/>
    </row>
    <row r="1216" spans="38:61" ht="15" x14ac:dyDescent="0.25">
      <c r="AL1216" s="93" t="s">
        <v>3433</v>
      </c>
      <c r="AM1216" s="92" t="s">
        <v>3434</v>
      </c>
      <c r="AW1216" s="103"/>
      <c r="BI1216"/>
    </row>
    <row r="1217" spans="38:61" ht="15" x14ac:dyDescent="0.25">
      <c r="AL1217" s="93" t="s">
        <v>3435</v>
      </c>
      <c r="AM1217" s="92" t="s">
        <v>3436</v>
      </c>
      <c r="AW1217" s="103"/>
      <c r="BI1217"/>
    </row>
    <row r="1218" spans="38:61" ht="15" x14ac:dyDescent="0.25">
      <c r="AL1218" s="93" t="s">
        <v>3437</v>
      </c>
      <c r="AM1218" s="92" t="s">
        <v>3438</v>
      </c>
      <c r="AW1218" s="103"/>
      <c r="BI1218"/>
    </row>
    <row r="1219" spans="38:61" ht="15" x14ac:dyDescent="0.25">
      <c r="AL1219" s="93" t="s">
        <v>3439</v>
      </c>
      <c r="AM1219" s="92" t="s">
        <v>3440</v>
      </c>
      <c r="AW1219" s="103"/>
      <c r="BI1219"/>
    </row>
    <row r="1220" spans="38:61" ht="15" x14ac:dyDescent="0.25">
      <c r="AL1220" s="93" t="s">
        <v>3441</v>
      </c>
      <c r="AM1220" s="92" t="s">
        <v>3442</v>
      </c>
      <c r="AW1220" s="103"/>
      <c r="BI1220"/>
    </row>
    <row r="1221" spans="38:61" ht="15" x14ac:dyDescent="0.25">
      <c r="AL1221" s="93" t="s">
        <v>3443</v>
      </c>
      <c r="AM1221" s="92" t="s">
        <v>3444</v>
      </c>
      <c r="AW1221" s="103"/>
      <c r="BI1221"/>
    </row>
    <row r="1222" spans="38:61" ht="15" x14ac:dyDescent="0.25">
      <c r="AL1222" s="93" t="s">
        <v>3445</v>
      </c>
      <c r="AM1222" s="92" t="s">
        <v>3446</v>
      </c>
      <c r="AW1222" s="103"/>
      <c r="BI1222"/>
    </row>
    <row r="1223" spans="38:61" ht="15" x14ac:dyDescent="0.25">
      <c r="AL1223" s="93" t="s">
        <v>3447</v>
      </c>
      <c r="AM1223" s="92" t="s">
        <v>3448</v>
      </c>
      <c r="AW1223" s="103"/>
      <c r="BI1223"/>
    </row>
    <row r="1224" spans="38:61" ht="15" x14ac:dyDescent="0.25">
      <c r="AL1224" s="93" t="s">
        <v>3449</v>
      </c>
      <c r="AM1224" s="92" t="s">
        <v>3450</v>
      </c>
      <c r="AW1224" s="103"/>
      <c r="BI1224"/>
    </row>
    <row r="1225" spans="38:61" ht="15" x14ac:dyDescent="0.25">
      <c r="AL1225" s="93" t="s">
        <v>3451</v>
      </c>
      <c r="AM1225" s="92" t="s">
        <v>3452</v>
      </c>
      <c r="AW1225" s="103"/>
      <c r="BI1225"/>
    </row>
    <row r="1226" spans="38:61" ht="15" x14ac:dyDescent="0.25">
      <c r="AL1226" s="93" t="s">
        <v>3453</v>
      </c>
      <c r="AM1226" s="92" t="s">
        <v>3454</v>
      </c>
      <c r="AW1226" s="103"/>
      <c r="BI1226"/>
    </row>
    <row r="1227" spans="38:61" ht="15" x14ac:dyDescent="0.25">
      <c r="AL1227" s="93" t="s">
        <v>3455</v>
      </c>
      <c r="AM1227" s="92" t="s">
        <v>3456</v>
      </c>
      <c r="AW1227" s="103"/>
      <c r="BI1227"/>
    </row>
    <row r="1228" spans="38:61" ht="15" x14ac:dyDescent="0.25">
      <c r="AL1228" s="93" t="s">
        <v>3457</v>
      </c>
      <c r="AM1228" s="92" t="s">
        <v>3458</v>
      </c>
      <c r="AW1228" s="103"/>
      <c r="BI1228"/>
    </row>
    <row r="1229" spans="38:61" ht="15" x14ac:dyDescent="0.25">
      <c r="AL1229" s="93" t="s">
        <v>3459</v>
      </c>
      <c r="AM1229" s="92" t="s">
        <v>3460</v>
      </c>
      <c r="AW1229" s="103"/>
      <c r="BI1229"/>
    </row>
    <row r="1230" spans="38:61" ht="15" x14ac:dyDescent="0.25">
      <c r="AL1230" s="93" t="s">
        <v>3461</v>
      </c>
      <c r="AM1230" s="92" t="s">
        <v>3462</v>
      </c>
      <c r="AW1230" s="103"/>
      <c r="BI1230"/>
    </row>
    <row r="1231" spans="38:61" ht="15" x14ac:dyDescent="0.25">
      <c r="AL1231" s="93" t="s">
        <v>3463</v>
      </c>
      <c r="AM1231" s="92" t="s">
        <v>3464</v>
      </c>
      <c r="AW1231" s="103"/>
      <c r="BI1231"/>
    </row>
    <row r="1232" spans="38:61" ht="15" x14ac:dyDescent="0.25">
      <c r="AL1232" s="93" t="s">
        <v>3465</v>
      </c>
      <c r="AM1232" s="92" t="s">
        <v>3466</v>
      </c>
      <c r="AW1232" s="103"/>
      <c r="BI1232"/>
    </row>
    <row r="1233" spans="38:61" ht="15" x14ac:dyDescent="0.25">
      <c r="AL1233" s="93" t="s">
        <v>3467</v>
      </c>
      <c r="AM1233" s="92" t="s">
        <v>3468</v>
      </c>
      <c r="AW1233" s="103"/>
      <c r="BI1233"/>
    </row>
    <row r="1234" spans="38:61" ht="15" x14ac:dyDescent="0.25">
      <c r="AL1234" s="93" t="s">
        <v>3469</v>
      </c>
      <c r="AM1234" s="92" t="s">
        <v>3470</v>
      </c>
      <c r="AW1234" s="103"/>
      <c r="BI1234"/>
    </row>
    <row r="1235" spans="38:61" ht="15" x14ac:dyDescent="0.25">
      <c r="AL1235" s="93" t="s">
        <v>3471</v>
      </c>
      <c r="AM1235" s="92" t="s">
        <v>3472</v>
      </c>
      <c r="AW1235" s="103"/>
      <c r="BI1235"/>
    </row>
    <row r="1236" spans="38:61" ht="15" x14ac:dyDescent="0.25">
      <c r="AL1236" s="93" t="s">
        <v>3473</v>
      </c>
      <c r="AM1236" s="92" t="s">
        <v>3474</v>
      </c>
      <c r="AW1236" s="103"/>
      <c r="BI1236"/>
    </row>
    <row r="1237" spans="38:61" ht="15" x14ac:dyDescent="0.25">
      <c r="AL1237" s="93" t="s">
        <v>3475</v>
      </c>
      <c r="AM1237" s="92" t="s">
        <v>3476</v>
      </c>
      <c r="AW1237" s="103"/>
      <c r="BI1237"/>
    </row>
    <row r="1238" spans="38:61" ht="15" x14ac:dyDescent="0.25">
      <c r="AL1238" s="93" t="s">
        <v>3477</v>
      </c>
      <c r="AM1238" s="92" t="s">
        <v>3478</v>
      </c>
      <c r="AW1238" s="103"/>
      <c r="BI1238"/>
    </row>
    <row r="1239" spans="38:61" ht="15" x14ac:dyDescent="0.25">
      <c r="AL1239" s="93" t="s">
        <v>3479</v>
      </c>
      <c r="AM1239" s="92" t="s">
        <v>3480</v>
      </c>
      <c r="AW1239" s="103"/>
      <c r="BI1239"/>
    </row>
    <row r="1240" spans="38:61" ht="15" x14ac:dyDescent="0.25">
      <c r="AL1240" s="93" t="s">
        <v>3481</v>
      </c>
      <c r="AM1240" s="92" t="s">
        <v>3482</v>
      </c>
      <c r="AW1240" s="103"/>
      <c r="BI1240"/>
    </row>
    <row r="1241" spans="38:61" ht="15" x14ac:dyDescent="0.25">
      <c r="AL1241" s="93" t="s">
        <v>3483</v>
      </c>
      <c r="AM1241" s="92" t="s">
        <v>3484</v>
      </c>
      <c r="AW1241" s="103"/>
      <c r="BI1241"/>
    </row>
    <row r="1242" spans="38:61" ht="15" x14ac:dyDescent="0.25">
      <c r="AL1242" s="93" t="s">
        <v>3485</v>
      </c>
      <c r="AM1242" s="92" t="s">
        <v>3486</v>
      </c>
      <c r="AW1242" s="103"/>
      <c r="BI1242"/>
    </row>
    <row r="1243" spans="38:61" ht="15" x14ac:dyDescent="0.25">
      <c r="AL1243" s="93" t="s">
        <v>3487</v>
      </c>
      <c r="AM1243" s="92" t="s">
        <v>3488</v>
      </c>
      <c r="AW1243" s="103"/>
      <c r="BI1243"/>
    </row>
    <row r="1244" spans="38:61" ht="15" x14ac:dyDescent="0.25">
      <c r="AL1244" s="93" t="s">
        <v>3489</v>
      </c>
      <c r="AM1244" s="92" t="s">
        <v>3490</v>
      </c>
      <c r="AW1244" s="103"/>
      <c r="BI1244"/>
    </row>
    <row r="1245" spans="38:61" ht="15" x14ac:dyDescent="0.25">
      <c r="AL1245" s="93" t="s">
        <v>3491</v>
      </c>
      <c r="AM1245" s="92" t="s">
        <v>3492</v>
      </c>
      <c r="AW1245" s="103"/>
      <c r="BI1245"/>
    </row>
    <row r="1246" spans="38:61" ht="15" x14ac:dyDescent="0.25">
      <c r="AL1246" s="93" t="s">
        <v>3493</v>
      </c>
      <c r="AM1246" s="92" t="s">
        <v>3494</v>
      </c>
      <c r="AW1246" s="103"/>
      <c r="BI1246"/>
    </row>
    <row r="1247" spans="38:61" ht="15" x14ac:dyDescent="0.25">
      <c r="AL1247" s="93" t="s">
        <v>3495</v>
      </c>
      <c r="AM1247" s="92" t="s">
        <v>3496</v>
      </c>
      <c r="AW1247" s="103"/>
      <c r="BI1247"/>
    </row>
    <row r="1248" spans="38:61" ht="15" x14ac:dyDescent="0.25">
      <c r="AL1248" s="93" t="s">
        <v>3497</v>
      </c>
      <c r="AM1248" s="92" t="s">
        <v>3498</v>
      </c>
      <c r="AW1248" s="103"/>
      <c r="BI1248"/>
    </row>
    <row r="1249" spans="38:61" ht="15" x14ac:dyDescent="0.25">
      <c r="AL1249" s="93" t="s">
        <v>3499</v>
      </c>
      <c r="AM1249" s="92" t="s">
        <v>3500</v>
      </c>
      <c r="AW1249" s="103"/>
      <c r="BI1249"/>
    </row>
    <row r="1250" spans="38:61" ht="15" x14ac:dyDescent="0.25">
      <c r="AL1250" s="93" t="s">
        <v>3501</v>
      </c>
      <c r="AM1250" s="92" t="s">
        <v>3502</v>
      </c>
      <c r="AW1250" s="103"/>
      <c r="BI1250"/>
    </row>
    <row r="1251" spans="38:61" ht="15" x14ac:dyDescent="0.25">
      <c r="AL1251" s="93" t="s">
        <v>3503</v>
      </c>
      <c r="AM1251" s="92" t="s">
        <v>3504</v>
      </c>
      <c r="AW1251" s="103"/>
      <c r="BI1251"/>
    </row>
    <row r="1252" spans="38:61" ht="15" x14ac:dyDescent="0.25">
      <c r="AL1252" s="93" t="s">
        <v>3505</v>
      </c>
      <c r="AM1252" s="92" t="s">
        <v>3506</v>
      </c>
      <c r="AW1252" s="103"/>
      <c r="BI1252"/>
    </row>
    <row r="1253" spans="38:61" ht="15" x14ac:dyDescent="0.25">
      <c r="AL1253" s="93" t="s">
        <v>3507</v>
      </c>
      <c r="AM1253" s="92" t="s">
        <v>3508</v>
      </c>
      <c r="AW1253" s="103"/>
      <c r="BI1253"/>
    </row>
    <row r="1254" spans="38:61" ht="15" x14ac:dyDescent="0.25">
      <c r="AL1254" s="93" t="s">
        <v>3509</v>
      </c>
      <c r="AM1254" s="92" t="s">
        <v>3510</v>
      </c>
      <c r="AW1254" s="103"/>
      <c r="BI1254"/>
    </row>
    <row r="1255" spans="38:61" ht="15" x14ac:dyDescent="0.25">
      <c r="AL1255" s="93" t="s">
        <v>3511</v>
      </c>
      <c r="AM1255" s="92" t="s">
        <v>3512</v>
      </c>
      <c r="AW1255" s="103"/>
      <c r="BI1255"/>
    </row>
    <row r="1256" spans="38:61" ht="15" x14ac:dyDescent="0.25">
      <c r="AL1256" s="93" t="s">
        <v>3513</v>
      </c>
      <c r="AM1256" s="92" t="s">
        <v>3514</v>
      </c>
      <c r="AW1256" s="103"/>
      <c r="BI1256"/>
    </row>
    <row r="1257" spans="38:61" ht="15" x14ac:dyDescent="0.25">
      <c r="AL1257" s="93" t="s">
        <v>3515</v>
      </c>
      <c r="AM1257" s="92" t="s">
        <v>3516</v>
      </c>
      <c r="AW1257" s="103"/>
      <c r="BI1257"/>
    </row>
    <row r="1258" spans="38:61" ht="15" x14ac:dyDescent="0.25">
      <c r="AL1258" s="93" t="s">
        <v>3517</v>
      </c>
      <c r="AM1258" s="92" t="s">
        <v>3518</v>
      </c>
      <c r="AW1258" s="103"/>
      <c r="BI1258"/>
    </row>
    <row r="1259" spans="38:61" ht="15" x14ac:dyDescent="0.25">
      <c r="AL1259" s="93" t="s">
        <v>3519</v>
      </c>
      <c r="AM1259" s="92" t="s">
        <v>3520</v>
      </c>
      <c r="AW1259" s="103"/>
      <c r="BI1259"/>
    </row>
    <row r="1260" spans="38:61" ht="15" x14ac:dyDescent="0.25">
      <c r="AL1260" s="93" t="s">
        <v>3521</v>
      </c>
      <c r="AM1260" s="92" t="s">
        <v>3522</v>
      </c>
      <c r="AW1260" s="103"/>
      <c r="BI1260"/>
    </row>
    <row r="1261" spans="38:61" ht="15" x14ac:dyDescent="0.25">
      <c r="AL1261" s="93" t="s">
        <v>3523</v>
      </c>
      <c r="AM1261" s="92" t="s">
        <v>3524</v>
      </c>
      <c r="AW1261" s="103"/>
      <c r="BI1261"/>
    </row>
    <row r="1262" spans="38:61" ht="15" x14ac:dyDescent="0.25">
      <c r="AL1262" s="93" t="s">
        <v>3525</v>
      </c>
      <c r="AM1262" s="92" t="s">
        <v>3526</v>
      </c>
      <c r="AW1262" s="103"/>
      <c r="BI1262"/>
    </row>
    <row r="1263" spans="38:61" ht="15" x14ac:dyDescent="0.25">
      <c r="AL1263" s="93" t="s">
        <v>3527</v>
      </c>
      <c r="AM1263" s="92" t="s">
        <v>3528</v>
      </c>
      <c r="AW1263" s="103"/>
      <c r="BI1263"/>
    </row>
    <row r="1264" spans="38:61" ht="15" x14ac:dyDescent="0.25">
      <c r="AL1264" s="93" t="s">
        <v>3529</v>
      </c>
      <c r="AM1264" s="92" t="s">
        <v>3530</v>
      </c>
      <c r="AW1264" s="103"/>
      <c r="BI1264"/>
    </row>
    <row r="1265" spans="38:61" ht="15" x14ac:dyDescent="0.25">
      <c r="AL1265" s="93" t="s">
        <v>3531</v>
      </c>
      <c r="AM1265" s="92" t="s">
        <v>3532</v>
      </c>
      <c r="AW1265" s="103"/>
      <c r="BI1265"/>
    </row>
    <row r="1266" spans="38:61" ht="15" x14ac:dyDescent="0.25">
      <c r="AL1266" s="93" t="s">
        <v>3533</v>
      </c>
      <c r="AM1266" s="92" t="s">
        <v>3534</v>
      </c>
      <c r="AW1266" s="103"/>
      <c r="BI1266"/>
    </row>
    <row r="1267" spans="38:61" ht="15" x14ac:dyDescent="0.25">
      <c r="AL1267" s="93" t="s">
        <v>3535</v>
      </c>
      <c r="AM1267" s="92" t="s">
        <v>3536</v>
      </c>
      <c r="AW1267" s="103"/>
      <c r="BI1267"/>
    </row>
    <row r="1268" spans="38:61" ht="15" x14ac:dyDescent="0.25">
      <c r="AL1268" s="93" t="s">
        <v>3537</v>
      </c>
      <c r="AM1268" s="92" t="s">
        <v>3538</v>
      </c>
      <c r="AW1268" s="103"/>
      <c r="BI1268"/>
    </row>
    <row r="1269" spans="38:61" ht="15" x14ac:dyDescent="0.25">
      <c r="AL1269" s="93" t="s">
        <v>3539</v>
      </c>
      <c r="AM1269" s="92" t="s">
        <v>3540</v>
      </c>
      <c r="AW1269" s="103"/>
      <c r="BI1269"/>
    </row>
    <row r="1270" spans="38:61" ht="15" x14ac:dyDescent="0.25">
      <c r="AL1270" s="93" t="s">
        <v>3541</v>
      </c>
      <c r="AM1270" s="92" t="s">
        <v>3542</v>
      </c>
      <c r="AW1270" s="103"/>
      <c r="BI1270"/>
    </row>
    <row r="1271" spans="38:61" ht="15" x14ac:dyDescent="0.25">
      <c r="AL1271" s="93" t="s">
        <v>3543</v>
      </c>
      <c r="AM1271" s="92" t="s">
        <v>3544</v>
      </c>
      <c r="AW1271" s="103"/>
      <c r="BI1271"/>
    </row>
    <row r="1272" spans="38:61" ht="15" x14ac:dyDescent="0.25">
      <c r="AL1272" s="93" t="s">
        <v>3545</v>
      </c>
      <c r="AM1272" s="92" t="s">
        <v>3546</v>
      </c>
      <c r="AW1272" s="103"/>
      <c r="BI1272"/>
    </row>
    <row r="1273" spans="38:61" ht="15" x14ac:dyDescent="0.25">
      <c r="AL1273" s="93" t="s">
        <v>3547</v>
      </c>
      <c r="AM1273" s="92" t="s">
        <v>3548</v>
      </c>
      <c r="AW1273" s="103"/>
      <c r="BI1273"/>
    </row>
    <row r="1274" spans="38:61" ht="15" x14ac:dyDescent="0.25">
      <c r="AL1274" s="93" t="s">
        <v>3549</v>
      </c>
      <c r="AM1274" s="92" t="s">
        <v>3550</v>
      </c>
      <c r="AW1274" s="103"/>
      <c r="BI1274"/>
    </row>
    <row r="1275" spans="38:61" ht="15" x14ac:dyDescent="0.25">
      <c r="AL1275" s="93" t="s">
        <v>3551</v>
      </c>
      <c r="AM1275" s="92" t="s">
        <v>3552</v>
      </c>
      <c r="AW1275" s="103"/>
      <c r="BI1275"/>
    </row>
    <row r="1276" spans="38:61" ht="15" x14ac:dyDescent="0.25">
      <c r="AL1276" s="93" t="s">
        <v>3553</v>
      </c>
      <c r="AM1276" s="92" t="s">
        <v>3554</v>
      </c>
      <c r="AW1276" s="103"/>
      <c r="BI1276"/>
    </row>
    <row r="1277" spans="38:61" ht="15" x14ac:dyDescent="0.25">
      <c r="AL1277" s="93" t="s">
        <v>3555</v>
      </c>
      <c r="AM1277" s="92" t="s">
        <v>3556</v>
      </c>
      <c r="AW1277" s="103"/>
      <c r="BI1277"/>
    </row>
    <row r="1278" spans="38:61" ht="15" x14ac:dyDescent="0.25">
      <c r="AL1278" s="93" t="s">
        <v>3557</v>
      </c>
      <c r="AM1278" s="92" t="s">
        <v>3558</v>
      </c>
      <c r="AW1278" s="103"/>
      <c r="BI1278"/>
    </row>
    <row r="1279" spans="38:61" ht="15" x14ac:dyDescent="0.25">
      <c r="AL1279" s="93" t="s">
        <v>3559</v>
      </c>
      <c r="AM1279" s="92" t="s">
        <v>3560</v>
      </c>
      <c r="AW1279" s="103"/>
      <c r="BI1279"/>
    </row>
    <row r="1280" spans="38:61" ht="15" x14ac:dyDescent="0.25">
      <c r="AL1280" s="93" t="s">
        <v>3561</v>
      </c>
      <c r="AM1280" s="92" t="s">
        <v>3562</v>
      </c>
      <c r="AW1280" s="103"/>
      <c r="BI1280"/>
    </row>
    <row r="1281" spans="38:61" ht="15" x14ac:dyDescent="0.25">
      <c r="AL1281" s="93" t="s">
        <v>3563</v>
      </c>
      <c r="AM1281" s="92" t="s">
        <v>3564</v>
      </c>
      <c r="AW1281" s="103"/>
      <c r="BI1281"/>
    </row>
    <row r="1282" spans="38:61" ht="15" x14ac:dyDescent="0.25">
      <c r="AL1282" s="93" t="s">
        <v>3565</v>
      </c>
      <c r="AM1282" s="92" t="s">
        <v>3566</v>
      </c>
      <c r="AW1282" s="103"/>
      <c r="BI1282"/>
    </row>
    <row r="1283" spans="38:61" ht="15" x14ac:dyDescent="0.25">
      <c r="AL1283" s="93" t="s">
        <v>3567</v>
      </c>
      <c r="AM1283" s="92" t="s">
        <v>3568</v>
      </c>
      <c r="AW1283" s="103"/>
      <c r="BI1283"/>
    </row>
    <row r="1284" spans="38:61" ht="15" x14ac:dyDescent="0.25">
      <c r="AL1284" s="93" t="s">
        <v>3569</v>
      </c>
      <c r="AM1284" s="92" t="s">
        <v>3570</v>
      </c>
      <c r="AW1284" s="103"/>
      <c r="BI1284"/>
    </row>
    <row r="1285" spans="38:61" ht="15" x14ac:dyDescent="0.25">
      <c r="AL1285" s="93" t="s">
        <v>3571</v>
      </c>
      <c r="AM1285" s="92" t="s">
        <v>3572</v>
      </c>
      <c r="AW1285" s="103"/>
      <c r="BI1285"/>
    </row>
    <row r="1286" spans="38:61" ht="15" x14ac:dyDescent="0.25">
      <c r="AL1286" s="93" t="s">
        <v>3573</v>
      </c>
      <c r="AM1286" s="92" t="s">
        <v>3574</v>
      </c>
      <c r="AW1286" s="103"/>
      <c r="BI1286"/>
    </row>
    <row r="1287" spans="38:61" ht="15" x14ac:dyDescent="0.25">
      <c r="AL1287" s="93" t="s">
        <v>3575</v>
      </c>
      <c r="AM1287" s="92" t="s">
        <v>3576</v>
      </c>
      <c r="AW1287" s="103"/>
      <c r="BI1287"/>
    </row>
    <row r="1288" spans="38:61" ht="15" x14ac:dyDescent="0.25">
      <c r="AL1288" s="93" t="s">
        <v>3577</v>
      </c>
      <c r="AM1288" s="92" t="s">
        <v>3578</v>
      </c>
      <c r="AW1288" s="103"/>
      <c r="BI1288"/>
    </row>
    <row r="1289" spans="38:61" ht="15" x14ac:dyDescent="0.25">
      <c r="AL1289" s="93" t="s">
        <v>3579</v>
      </c>
      <c r="AM1289" s="92" t="s">
        <v>3580</v>
      </c>
      <c r="AW1289" s="103"/>
      <c r="BI1289"/>
    </row>
    <row r="1290" spans="38:61" ht="15" x14ac:dyDescent="0.25">
      <c r="AL1290" s="93" t="s">
        <v>3581</v>
      </c>
      <c r="AM1290" s="92" t="s">
        <v>3582</v>
      </c>
      <c r="AW1290" s="103"/>
      <c r="BI1290"/>
    </row>
    <row r="1291" spans="38:61" ht="15" x14ac:dyDescent="0.25">
      <c r="AL1291" s="93" t="s">
        <v>3583</v>
      </c>
      <c r="AM1291" s="92" t="s">
        <v>3584</v>
      </c>
      <c r="AW1291" s="103"/>
      <c r="BI1291"/>
    </row>
    <row r="1292" spans="38:61" ht="15" x14ac:dyDescent="0.25">
      <c r="AL1292" s="93" t="s">
        <v>3585</v>
      </c>
      <c r="AM1292" s="92" t="s">
        <v>3586</v>
      </c>
      <c r="AW1292" s="103"/>
      <c r="BI1292"/>
    </row>
    <row r="1293" spans="38:61" ht="15" x14ac:dyDescent="0.25">
      <c r="AL1293" s="93" t="s">
        <v>3587</v>
      </c>
      <c r="AM1293" s="92" t="s">
        <v>3588</v>
      </c>
      <c r="AW1293" s="103"/>
      <c r="BI1293"/>
    </row>
    <row r="1294" spans="38:61" ht="15" x14ac:dyDescent="0.25">
      <c r="AL1294" s="93" t="s">
        <v>3589</v>
      </c>
      <c r="AM1294" s="92" t="s">
        <v>3590</v>
      </c>
      <c r="AW1294" s="103"/>
      <c r="BI1294"/>
    </row>
    <row r="1295" spans="38:61" ht="15" x14ac:dyDescent="0.25">
      <c r="AL1295" s="93" t="s">
        <v>3591</v>
      </c>
      <c r="AM1295" s="92" t="s">
        <v>3592</v>
      </c>
      <c r="AW1295" s="103"/>
      <c r="BI1295"/>
    </row>
    <row r="1296" spans="38:61" ht="15" x14ac:dyDescent="0.25">
      <c r="AL1296" s="93" t="s">
        <v>3593</v>
      </c>
      <c r="AM1296" s="92" t="s">
        <v>3594</v>
      </c>
      <c r="AW1296" s="103"/>
      <c r="BI1296"/>
    </row>
    <row r="1297" spans="38:61" ht="15" x14ac:dyDescent="0.25">
      <c r="AL1297" s="93" t="s">
        <v>3595</v>
      </c>
      <c r="AM1297" s="92" t="s">
        <v>3596</v>
      </c>
      <c r="AW1297" s="103"/>
      <c r="BI1297"/>
    </row>
    <row r="1298" spans="38:61" ht="15" x14ac:dyDescent="0.25">
      <c r="AL1298" s="93" t="s">
        <v>3597</v>
      </c>
      <c r="AM1298" s="92" t="s">
        <v>3598</v>
      </c>
      <c r="AW1298" s="103"/>
      <c r="BI1298"/>
    </row>
    <row r="1299" spans="38:61" ht="15" x14ac:dyDescent="0.25">
      <c r="AL1299" s="93" t="s">
        <v>3599</v>
      </c>
      <c r="AM1299" s="92" t="s">
        <v>3600</v>
      </c>
      <c r="AW1299" s="103"/>
      <c r="BI1299"/>
    </row>
    <row r="1300" spans="38:61" ht="15" x14ac:dyDescent="0.25">
      <c r="AL1300" s="93" t="s">
        <v>3601</v>
      </c>
      <c r="AM1300" s="92" t="s">
        <v>3602</v>
      </c>
      <c r="AW1300" s="103"/>
      <c r="BI1300"/>
    </row>
    <row r="1301" spans="38:61" ht="15" x14ac:dyDescent="0.25">
      <c r="AL1301" s="93" t="s">
        <v>3603</v>
      </c>
      <c r="AM1301" s="92" t="s">
        <v>3604</v>
      </c>
      <c r="AW1301" s="103"/>
      <c r="BI1301"/>
    </row>
    <row r="1302" spans="38:61" ht="15" x14ac:dyDescent="0.25">
      <c r="AL1302" s="93" t="s">
        <v>3605</v>
      </c>
      <c r="AM1302" s="92" t="s">
        <v>3606</v>
      </c>
      <c r="AW1302" s="103"/>
      <c r="BI1302"/>
    </row>
    <row r="1303" spans="38:61" ht="15" x14ac:dyDescent="0.25">
      <c r="AL1303" s="93" t="s">
        <v>3607</v>
      </c>
      <c r="AM1303" s="92" t="s">
        <v>3608</v>
      </c>
      <c r="AW1303" s="103"/>
      <c r="BI1303"/>
    </row>
    <row r="1304" spans="38:61" ht="15" x14ac:dyDescent="0.25">
      <c r="AL1304" s="93" t="s">
        <v>3609</v>
      </c>
      <c r="AM1304" s="92" t="s">
        <v>3610</v>
      </c>
      <c r="AW1304" s="103"/>
      <c r="BI1304"/>
    </row>
    <row r="1305" spans="38:61" ht="15" x14ac:dyDescent="0.25">
      <c r="AL1305" s="93" t="s">
        <v>3611</v>
      </c>
      <c r="AM1305" s="92" t="s">
        <v>3612</v>
      </c>
      <c r="AW1305" s="103"/>
      <c r="BI1305"/>
    </row>
    <row r="1306" spans="38:61" ht="15" x14ac:dyDescent="0.25">
      <c r="AL1306" s="93" t="s">
        <v>3613</v>
      </c>
      <c r="AM1306" s="92" t="s">
        <v>3614</v>
      </c>
      <c r="AW1306" s="103"/>
      <c r="BI1306"/>
    </row>
    <row r="1307" spans="38:61" ht="15" x14ac:dyDescent="0.25">
      <c r="AL1307" s="93" t="s">
        <v>3615</v>
      </c>
      <c r="AM1307" s="92" t="s">
        <v>3616</v>
      </c>
      <c r="AW1307" s="103"/>
      <c r="BI1307"/>
    </row>
    <row r="1308" spans="38:61" ht="15" x14ac:dyDescent="0.25">
      <c r="AL1308" s="93" t="s">
        <v>3617</v>
      </c>
      <c r="AM1308" s="92" t="s">
        <v>3618</v>
      </c>
      <c r="AW1308" s="103"/>
      <c r="BI1308"/>
    </row>
    <row r="1309" spans="38:61" ht="15" x14ac:dyDescent="0.25">
      <c r="AL1309" s="93" t="s">
        <v>3619</v>
      </c>
      <c r="AM1309" s="92" t="s">
        <v>3620</v>
      </c>
      <c r="AW1309" s="103"/>
      <c r="BI1309"/>
    </row>
    <row r="1310" spans="38:61" ht="15" x14ac:dyDescent="0.25">
      <c r="AL1310" s="93" t="s">
        <v>3621</v>
      </c>
      <c r="AM1310" s="92" t="s">
        <v>3622</v>
      </c>
      <c r="AW1310" s="103"/>
      <c r="BI1310"/>
    </row>
    <row r="1311" spans="38:61" ht="15" x14ac:dyDescent="0.25">
      <c r="AL1311" s="93" t="s">
        <v>3623</v>
      </c>
      <c r="AM1311" s="92" t="s">
        <v>3624</v>
      </c>
      <c r="AW1311" s="103"/>
      <c r="BI1311"/>
    </row>
    <row r="1312" spans="38:61" ht="15" x14ac:dyDescent="0.25">
      <c r="AL1312" s="93" t="s">
        <v>3625</v>
      </c>
      <c r="AM1312" s="92" t="s">
        <v>3626</v>
      </c>
      <c r="AW1312" s="103"/>
      <c r="BI1312"/>
    </row>
    <row r="1313" spans="38:61" ht="15" x14ac:dyDescent="0.25">
      <c r="AL1313" s="93" t="s">
        <v>3627</v>
      </c>
      <c r="AM1313" s="92" t="s">
        <v>3628</v>
      </c>
      <c r="AW1313" s="103"/>
      <c r="BI1313"/>
    </row>
    <row r="1314" spans="38:61" ht="15" x14ac:dyDescent="0.25">
      <c r="AL1314" s="93" t="s">
        <v>3629</v>
      </c>
      <c r="AM1314" s="92" t="s">
        <v>3630</v>
      </c>
      <c r="AW1314" s="103"/>
      <c r="BI1314"/>
    </row>
    <row r="1315" spans="38:61" ht="15" x14ac:dyDescent="0.25">
      <c r="AL1315" s="93" t="s">
        <v>3631</v>
      </c>
      <c r="AM1315" s="92" t="s">
        <v>3632</v>
      </c>
      <c r="AW1315" s="103"/>
      <c r="BI1315"/>
    </row>
    <row r="1316" spans="38:61" ht="15" x14ac:dyDescent="0.25">
      <c r="AL1316" s="93" t="s">
        <v>3633</v>
      </c>
      <c r="AM1316" s="92" t="s">
        <v>3634</v>
      </c>
      <c r="AW1316" s="103"/>
      <c r="BI1316"/>
    </row>
    <row r="1317" spans="38:61" ht="15" x14ac:dyDescent="0.25">
      <c r="AL1317" s="93" t="s">
        <v>3635</v>
      </c>
      <c r="AM1317" s="92" t="s">
        <v>3636</v>
      </c>
      <c r="AW1317" s="103"/>
      <c r="BI1317"/>
    </row>
    <row r="1318" spans="38:61" ht="15" x14ac:dyDescent="0.25">
      <c r="AL1318" s="93" t="s">
        <v>3637</v>
      </c>
      <c r="AM1318" s="92" t="s">
        <v>3638</v>
      </c>
      <c r="AW1318" s="103"/>
      <c r="BI1318"/>
    </row>
    <row r="1319" spans="38:61" ht="15" x14ac:dyDescent="0.25">
      <c r="AL1319" s="93" t="s">
        <v>3639</v>
      </c>
      <c r="AM1319" s="92" t="s">
        <v>3640</v>
      </c>
      <c r="AW1319" s="103"/>
      <c r="BI1319"/>
    </row>
    <row r="1320" spans="38:61" ht="15" x14ac:dyDescent="0.25">
      <c r="AL1320" s="93" t="s">
        <v>3641</v>
      </c>
      <c r="AM1320" s="92" t="s">
        <v>3642</v>
      </c>
      <c r="AW1320" s="103"/>
      <c r="BI1320"/>
    </row>
    <row r="1321" spans="38:61" ht="15" x14ac:dyDescent="0.25">
      <c r="AL1321" s="93" t="s">
        <v>3643</v>
      </c>
      <c r="AM1321" s="92" t="s">
        <v>3644</v>
      </c>
      <c r="AW1321" s="103"/>
      <c r="BI1321"/>
    </row>
    <row r="1322" spans="38:61" ht="15" x14ac:dyDescent="0.25">
      <c r="AL1322" s="93" t="s">
        <v>3645</v>
      </c>
      <c r="AM1322" s="92" t="s">
        <v>3646</v>
      </c>
      <c r="AW1322" s="103"/>
      <c r="BI1322"/>
    </row>
    <row r="1323" spans="38:61" ht="15" x14ac:dyDescent="0.25">
      <c r="AL1323" s="93" t="s">
        <v>3647</v>
      </c>
      <c r="AM1323" s="92" t="s">
        <v>3648</v>
      </c>
      <c r="AW1323" s="103"/>
      <c r="BI1323"/>
    </row>
    <row r="1324" spans="38:61" ht="15" x14ac:dyDescent="0.25">
      <c r="AL1324" s="93" t="s">
        <v>3649</v>
      </c>
      <c r="AM1324" s="92" t="s">
        <v>3650</v>
      </c>
      <c r="AW1324" s="103"/>
      <c r="BI1324"/>
    </row>
    <row r="1325" spans="38:61" ht="15" x14ac:dyDescent="0.25">
      <c r="AL1325" s="93" t="s">
        <v>3651</v>
      </c>
      <c r="AM1325" s="92" t="s">
        <v>3652</v>
      </c>
      <c r="AW1325" s="103"/>
      <c r="BI1325"/>
    </row>
    <row r="1326" spans="38:61" ht="15" x14ac:dyDescent="0.25">
      <c r="AL1326" s="93" t="s">
        <v>3653</v>
      </c>
      <c r="AM1326" s="92" t="s">
        <v>3654</v>
      </c>
      <c r="AW1326" s="103"/>
      <c r="BI1326"/>
    </row>
    <row r="1327" spans="38:61" ht="15" x14ac:dyDescent="0.25">
      <c r="AL1327" s="93" t="s">
        <v>3655</v>
      </c>
      <c r="AM1327" s="92" t="s">
        <v>3656</v>
      </c>
      <c r="AW1327" s="103"/>
      <c r="BI1327"/>
    </row>
    <row r="1328" spans="38:61" ht="15" x14ac:dyDescent="0.25">
      <c r="AL1328" s="93" t="s">
        <v>3657</v>
      </c>
      <c r="AM1328" s="92" t="s">
        <v>3658</v>
      </c>
      <c r="AW1328" s="103"/>
      <c r="BI1328"/>
    </row>
    <row r="1329" spans="38:61" ht="15" x14ac:dyDescent="0.25">
      <c r="AL1329" s="93" t="s">
        <v>3659</v>
      </c>
      <c r="AM1329" s="92" t="s">
        <v>3660</v>
      </c>
      <c r="AW1329" s="103"/>
      <c r="BI1329"/>
    </row>
    <row r="1330" spans="38:61" ht="15" x14ac:dyDescent="0.25">
      <c r="AL1330" s="93" t="s">
        <v>3661</v>
      </c>
      <c r="AM1330" s="92" t="s">
        <v>3662</v>
      </c>
      <c r="AW1330" s="103"/>
      <c r="BI1330"/>
    </row>
    <row r="1331" spans="38:61" ht="15" x14ac:dyDescent="0.25">
      <c r="AL1331" s="93" t="s">
        <v>3663</v>
      </c>
      <c r="AM1331" s="92" t="s">
        <v>3664</v>
      </c>
      <c r="AW1331" s="103"/>
      <c r="BI1331"/>
    </row>
    <row r="1332" spans="38:61" ht="15" x14ac:dyDescent="0.25">
      <c r="AL1332" s="93" t="s">
        <v>3665</v>
      </c>
      <c r="AM1332" s="92" t="s">
        <v>3666</v>
      </c>
      <c r="AW1332" s="103"/>
      <c r="BI1332"/>
    </row>
    <row r="1333" spans="38:61" ht="15" x14ac:dyDescent="0.25">
      <c r="AL1333" s="93" t="s">
        <v>3667</v>
      </c>
      <c r="AM1333" s="92" t="s">
        <v>3668</v>
      </c>
      <c r="AW1333" s="103"/>
      <c r="BI1333"/>
    </row>
    <row r="1334" spans="38:61" ht="15" x14ac:dyDescent="0.25">
      <c r="AL1334" s="93" t="s">
        <v>3669</v>
      </c>
      <c r="AM1334" s="92" t="s">
        <v>3670</v>
      </c>
      <c r="AW1334" s="103"/>
      <c r="BI1334"/>
    </row>
    <row r="1335" spans="38:61" ht="15" x14ac:dyDescent="0.25">
      <c r="AL1335" s="93" t="s">
        <v>3671</v>
      </c>
      <c r="AM1335" s="92" t="s">
        <v>3672</v>
      </c>
      <c r="AW1335" s="103"/>
      <c r="BI1335"/>
    </row>
    <row r="1336" spans="38:61" ht="15" x14ac:dyDescent="0.25">
      <c r="AL1336" s="93" t="s">
        <v>3673</v>
      </c>
      <c r="AM1336" s="92" t="s">
        <v>3674</v>
      </c>
      <c r="AW1336" s="103"/>
      <c r="BI1336"/>
    </row>
    <row r="1337" spans="38:61" ht="15" x14ac:dyDescent="0.25">
      <c r="AL1337" s="93" t="s">
        <v>3675</v>
      </c>
      <c r="AM1337" s="92" t="s">
        <v>3676</v>
      </c>
      <c r="AW1337" s="103"/>
      <c r="BI1337"/>
    </row>
    <row r="1338" spans="38:61" ht="15" x14ac:dyDescent="0.25">
      <c r="AL1338" s="93" t="s">
        <v>3677</v>
      </c>
      <c r="AM1338" s="92" t="s">
        <v>3678</v>
      </c>
      <c r="AW1338" s="103"/>
      <c r="BI1338"/>
    </row>
    <row r="1339" spans="38:61" ht="15" x14ac:dyDescent="0.25">
      <c r="AL1339" s="93" t="s">
        <v>3679</v>
      </c>
      <c r="AM1339" s="92" t="s">
        <v>3680</v>
      </c>
      <c r="AW1339" s="103"/>
      <c r="BI1339"/>
    </row>
    <row r="1340" spans="38:61" ht="15" x14ac:dyDescent="0.25">
      <c r="AL1340" s="93" t="s">
        <v>3681</v>
      </c>
      <c r="AM1340" s="92" t="s">
        <v>3682</v>
      </c>
      <c r="AW1340" s="103"/>
      <c r="BI1340"/>
    </row>
    <row r="1341" spans="38:61" ht="15" x14ac:dyDescent="0.25">
      <c r="AL1341" s="93" t="s">
        <v>3683</v>
      </c>
      <c r="AM1341" s="92" t="s">
        <v>3684</v>
      </c>
      <c r="AW1341" s="103"/>
      <c r="BI1341"/>
    </row>
    <row r="1342" spans="38:61" ht="15" x14ac:dyDescent="0.25">
      <c r="AL1342" s="93" t="s">
        <v>3685</v>
      </c>
      <c r="AM1342" s="92" t="s">
        <v>3686</v>
      </c>
      <c r="AW1342" s="103"/>
      <c r="BI1342"/>
    </row>
    <row r="1343" spans="38:61" ht="15" x14ac:dyDescent="0.25">
      <c r="AL1343" s="93" t="s">
        <v>3687</v>
      </c>
      <c r="AM1343" s="92" t="s">
        <v>3688</v>
      </c>
      <c r="AW1343" s="103"/>
      <c r="BI1343"/>
    </row>
    <row r="1344" spans="38:61" ht="15" x14ac:dyDescent="0.25">
      <c r="AL1344" s="93" t="s">
        <v>3689</v>
      </c>
      <c r="AM1344" s="92" t="s">
        <v>3690</v>
      </c>
      <c r="AW1344" s="103"/>
      <c r="BI1344"/>
    </row>
    <row r="1345" spans="38:61" ht="15" x14ac:dyDescent="0.25">
      <c r="AL1345" s="93" t="s">
        <v>3691</v>
      </c>
      <c r="AM1345" s="92" t="s">
        <v>3692</v>
      </c>
      <c r="AW1345" s="103"/>
      <c r="BI1345"/>
    </row>
    <row r="1346" spans="38:61" ht="15" x14ac:dyDescent="0.25">
      <c r="AL1346" s="93" t="s">
        <v>3693</v>
      </c>
      <c r="AM1346" s="92" t="s">
        <v>3694</v>
      </c>
      <c r="AW1346" s="103"/>
      <c r="BI1346"/>
    </row>
    <row r="1347" spans="38:61" ht="15" x14ac:dyDescent="0.25">
      <c r="AL1347" s="93" t="s">
        <v>3695</v>
      </c>
      <c r="AM1347" s="92" t="s">
        <v>3696</v>
      </c>
      <c r="AW1347" s="103"/>
      <c r="BI1347"/>
    </row>
    <row r="1348" spans="38:61" ht="15" x14ac:dyDescent="0.25">
      <c r="AL1348" s="93" t="s">
        <v>3697</v>
      </c>
      <c r="AM1348" s="92" t="s">
        <v>3698</v>
      </c>
      <c r="AW1348" s="103"/>
      <c r="BI1348"/>
    </row>
    <row r="1349" spans="38:61" ht="15" x14ac:dyDescent="0.25">
      <c r="AL1349" s="93" t="s">
        <v>3699</v>
      </c>
      <c r="AM1349" s="92" t="s">
        <v>3700</v>
      </c>
      <c r="AW1349" s="103"/>
      <c r="BI1349"/>
    </row>
    <row r="1350" spans="38:61" ht="15" x14ac:dyDescent="0.25">
      <c r="AL1350" s="93" t="s">
        <v>3701</v>
      </c>
      <c r="AM1350" s="92" t="s">
        <v>3702</v>
      </c>
      <c r="AW1350" s="103"/>
      <c r="BI1350"/>
    </row>
    <row r="1351" spans="38:61" ht="15" x14ac:dyDescent="0.25">
      <c r="AL1351" s="93" t="s">
        <v>3703</v>
      </c>
      <c r="AM1351" s="92" t="s">
        <v>3704</v>
      </c>
      <c r="AW1351" s="103"/>
      <c r="BI1351"/>
    </row>
    <row r="1352" spans="38:61" ht="15" x14ac:dyDescent="0.25">
      <c r="AL1352" s="93" t="s">
        <v>3705</v>
      </c>
      <c r="AM1352" s="92" t="s">
        <v>3706</v>
      </c>
      <c r="AW1352" s="103"/>
      <c r="BI1352"/>
    </row>
    <row r="1353" spans="38:61" ht="15" x14ac:dyDescent="0.25">
      <c r="AL1353" s="93" t="s">
        <v>3707</v>
      </c>
      <c r="AM1353" s="92" t="s">
        <v>3708</v>
      </c>
      <c r="AW1353" s="103"/>
      <c r="BI1353"/>
    </row>
    <row r="1354" spans="38:61" ht="15" x14ac:dyDescent="0.25">
      <c r="AL1354" s="93" t="s">
        <v>3709</v>
      </c>
      <c r="AM1354" s="92" t="s">
        <v>3710</v>
      </c>
      <c r="AW1354" s="103"/>
      <c r="BI1354"/>
    </row>
    <row r="1355" spans="38:61" ht="15" x14ac:dyDescent="0.25">
      <c r="AL1355" s="93" t="s">
        <v>3711</v>
      </c>
      <c r="AM1355" s="92" t="s">
        <v>3712</v>
      </c>
      <c r="AW1355" s="103"/>
      <c r="BI1355"/>
    </row>
    <row r="1356" spans="38:61" ht="15" x14ac:dyDescent="0.25">
      <c r="AL1356" s="93" t="s">
        <v>3713</v>
      </c>
      <c r="AM1356" s="92" t="s">
        <v>3714</v>
      </c>
      <c r="AW1356" s="103"/>
      <c r="BI1356"/>
    </row>
    <row r="1357" spans="38:61" ht="15" x14ac:dyDescent="0.25">
      <c r="AL1357" s="93" t="s">
        <v>3715</v>
      </c>
      <c r="AM1357" s="92" t="s">
        <v>3716</v>
      </c>
      <c r="AW1357" s="103"/>
      <c r="BI1357"/>
    </row>
    <row r="1358" spans="38:61" ht="15" x14ac:dyDescent="0.25">
      <c r="AL1358" s="93" t="s">
        <v>3717</v>
      </c>
      <c r="AM1358" s="92" t="s">
        <v>3718</v>
      </c>
      <c r="AW1358" s="103"/>
      <c r="BI1358"/>
    </row>
    <row r="1359" spans="38:61" ht="15" x14ac:dyDescent="0.25">
      <c r="AL1359" s="93" t="s">
        <v>3719</v>
      </c>
      <c r="AM1359" s="92" t="s">
        <v>3720</v>
      </c>
      <c r="AW1359" s="103"/>
      <c r="BI1359"/>
    </row>
    <row r="1360" spans="38:61" ht="15" x14ac:dyDescent="0.25">
      <c r="AL1360" s="93" t="s">
        <v>3721</v>
      </c>
      <c r="AM1360" s="92" t="s">
        <v>3722</v>
      </c>
      <c r="AW1360" s="103"/>
      <c r="BI1360"/>
    </row>
    <row r="1361" spans="38:61" ht="15" x14ac:dyDescent="0.25">
      <c r="AL1361" s="93" t="s">
        <v>3723</v>
      </c>
      <c r="AM1361" s="92" t="s">
        <v>3724</v>
      </c>
      <c r="AW1361" s="103"/>
      <c r="BI1361"/>
    </row>
    <row r="1362" spans="38:61" ht="15" x14ac:dyDescent="0.25">
      <c r="AL1362" s="93" t="s">
        <v>3725</v>
      </c>
      <c r="AM1362" s="92" t="s">
        <v>3726</v>
      </c>
      <c r="AW1362" s="103"/>
      <c r="BI1362"/>
    </row>
    <row r="1363" spans="38:61" ht="15" x14ac:dyDescent="0.25">
      <c r="AL1363" s="93" t="s">
        <v>3727</v>
      </c>
      <c r="AM1363" s="92" t="s">
        <v>3728</v>
      </c>
      <c r="AW1363" s="103"/>
      <c r="BI1363"/>
    </row>
    <row r="1364" spans="38:61" ht="15" x14ac:dyDescent="0.25">
      <c r="AL1364" s="93" t="s">
        <v>3729</v>
      </c>
      <c r="AM1364" s="92" t="s">
        <v>3730</v>
      </c>
      <c r="AW1364" s="103"/>
      <c r="BI1364"/>
    </row>
    <row r="1365" spans="38:61" ht="15" x14ac:dyDescent="0.25">
      <c r="AL1365" s="93" t="s">
        <v>3731</v>
      </c>
      <c r="AM1365" s="92" t="s">
        <v>3732</v>
      </c>
      <c r="AW1365" s="103"/>
      <c r="BI1365"/>
    </row>
    <row r="1366" spans="38:61" ht="15" x14ac:dyDescent="0.25">
      <c r="AL1366" s="93" t="s">
        <v>3733</v>
      </c>
      <c r="AM1366" s="92" t="s">
        <v>3734</v>
      </c>
      <c r="AW1366" s="103"/>
      <c r="BI1366"/>
    </row>
    <row r="1367" spans="38:61" ht="15" x14ac:dyDescent="0.25">
      <c r="AL1367" s="93" t="s">
        <v>3735</v>
      </c>
      <c r="AM1367" s="92" t="s">
        <v>3736</v>
      </c>
      <c r="AW1367" s="103"/>
      <c r="BI1367"/>
    </row>
    <row r="1368" spans="38:61" ht="15" x14ac:dyDescent="0.25">
      <c r="AL1368" s="93" t="s">
        <v>3737</v>
      </c>
      <c r="AM1368" s="92" t="s">
        <v>3738</v>
      </c>
      <c r="AW1368" s="103"/>
      <c r="BI1368"/>
    </row>
    <row r="1369" spans="38:61" ht="15" x14ac:dyDescent="0.25">
      <c r="AL1369" s="93" t="s">
        <v>3739</v>
      </c>
      <c r="AM1369" s="92" t="s">
        <v>3740</v>
      </c>
      <c r="AW1369" s="103"/>
      <c r="BI1369"/>
    </row>
    <row r="1370" spans="38:61" ht="15" x14ac:dyDescent="0.25">
      <c r="AL1370" s="93" t="s">
        <v>3741</v>
      </c>
      <c r="AM1370" s="92" t="s">
        <v>3742</v>
      </c>
      <c r="AW1370" s="103"/>
      <c r="BI1370"/>
    </row>
    <row r="1371" spans="38:61" ht="15" x14ac:dyDescent="0.25">
      <c r="AL1371" s="93" t="s">
        <v>3743</v>
      </c>
      <c r="AM1371" s="92" t="s">
        <v>3744</v>
      </c>
      <c r="AW1371" s="103"/>
      <c r="BI1371"/>
    </row>
    <row r="1372" spans="38:61" ht="15" x14ac:dyDescent="0.25">
      <c r="AL1372" s="93" t="s">
        <v>3745</v>
      </c>
      <c r="AM1372" s="92" t="s">
        <v>3746</v>
      </c>
      <c r="AW1372" s="103"/>
      <c r="BI1372"/>
    </row>
    <row r="1373" spans="38:61" ht="15" x14ac:dyDescent="0.25">
      <c r="AL1373" s="93" t="s">
        <v>3747</v>
      </c>
      <c r="AM1373" s="92" t="s">
        <v>3748</v>
      </c>
      <c r="AW1373" s="103"/>
      <c r="BI1373"/>
    </row>
    <row r="1374" spans="38:61" ht="15" x14ac:dyDescent="0.25">
      <c r="AL1374" s="93" t="s">
        <v>3749</v>
      </c>
      <c r="AM1374" s="92" t="s">
        <v>3750</v>
      </c>
      <c r="AW1374" s="103"/>
      <c r="BI1374"/>
    </row>
    <row r="1375" spans="38:61" ht="15" x14ac:dyDescent="0.25">
      <c r="AL1375" s="93" t="s">
        <v>3751</v>
      </c>
      <c r="AM1375" s="92" t="s">
        <v>3752</v>
      </c>
      <c r="AW1375" s="103"/>
      <c r="BI1375"/>
    </row>
    <row r="1376" spans="38:61" ht="15" x14ac:dyDescent="0.25">
      <c r="AL1376" s="93" t="s">
        <v>3753</v>
      </c>
      <c r="AM1376" s="92" t="s">
        <v>3754</v>
      </c>
      <c r="AW1376" s="103"/>
      <c r="BI1376"/>
    </row>
    <row r="1377" spans="38:61" ht="15" x14ac:dyDescent="0.25">
      <c r="AL1377" s="93" t="s">
        <v>3755</v>
      </c>
      <c r="AM1377" s="92" t="s">
        <v>3756</v>
      </c>
      <c r="AW1377" s="103"/>
      <c r="BI1377"/>
    </row>
    <row r="1378" spans="38:61" ht="15" x14ac:dyDescent="0.25">
      <c r="AL1378" s="93" t="s">
        <v>3757</v>
      </c>
      <c r="AM1378" s="92" t="s">
        <v>3758</v>
      </c>
      <c r="AW1378" s="103"/>
      <c r="BI1378"/>
    </row>
    <row r="1379" spans="38:61" ht="15" x14ac:dyDescent="0.25">
      <c r="AL1379" s="93" t="s">
        <v>3759</v>
      </c>
      <c r="AM1379" s="92" t="s">
        <v>3760</v>
      </c>
      <c r="AW1379" s="103"/>
      <c r="BI1379"/>
    </row>
    <row r="1380" spans="38:61" ht="15" x14ac:dyDescent="0.25">
      <c r="AL1380" s="93" t="s">
        <v>3761</v>
      </c>
      <c r="AM1380" s="92" t="s">
        <v>3762</v>
      </c>
      <c r="AW1380" s="103"/>
      <c r="BI1380"/>
    </row>
    <row r="1381" spans="38:61" ht="15" x14ac:dyDescent="0.25">
      <c r="AL1381" s="93" t="s">
        <v>3763</v>
      </c>
      <c r="AM1381" s="92" t="s">
        <v>3764</v>
      </c>
      <c r="AW1381" s="103"/>
      <c r="BI1381"/>
    </row>
    <row r="1382" spans="38:61" ht="15" x14ac:dyDescent="0.25">
      <c r="AL1382" s="93" t="s">
        <v>3765</v>
      </c>
      <c r="AM1382" s="92" t="s">
        <v>3766</v>
      </c>
      <c r="AW1382" s="103"/>
      <c r="BI1382"/>
    </row>
    <row r="1383" spans="38:61" ht="15" x14ac:dyDescent="0.25">
      <c r="AL1383" s="93" t="s">
        <v>3767</v>
      </c>
      <c r="AM1383" s="92" t="s">
        <v>3768</v>
      </c>
      <c r="AW1383" s="103"/>
      <c r="BI1383"/>
    </row>
    <row r="1384" spans="38:61" ht="15" x14ac:dyDescent="0.25">
      <c r="AL1384" s="93" t="s">
        <v>3769</v>
      </c>
      <c r="AM1384" s="92" t="s">
        <v>3770</v>
      </c>
      <c r="AW1384" s="103"/>
      <c r="BI1384"/>
    </row>
    <row r="1385" spans="38:61" ht="15" x14ac:dyDescent="0.25">
      <c r="AL1385" s="93" t="s">
        <v>3771</v>
      </c>
      <c r="AM1385" s="92" t="s">
        <v>3772</v>
      </c>
      <c r="AW1385" s="103"/>
      <c r="BI1385"/>
    </row>
    <row r="1386" spans="38:61" ht="15" x14ac:dyDescent="0.25">
      <c r="AL1386" s="93" t="s">
        <v>3773</v>
      </c>
      <c r="AM1386" s="92" t="s">
        <v>3774</v>
      </c>
      <c r="AW1386" s="103"/>
      <c r="BI1386"/>
    </row>
    <row r="1387" spans="38:61" ht="15" x14ac:dyDescent="0.25">
      <c r="AL1387" s="93" t="s">
        <v>3775</v>
      </c>
      <c r="AM1387" s="92" t="s">
        <v>3776</v>
      </c>
      <c r="AW1387" s="103"/>
      <c r="BI1387"/>
    </row>
    <row r="1388" spans="38:61" ht="15" x14ac:dyDescent="0.25">
      <c r="AL1388" s="93" t="s">
        <v>3777</v>
      </c>
      <c r="AM1388" s="92" t="s">
        <v>3778</v>
      </c>
      <c r="AW1388" s="103"/>
      <c r="BI1388"/>
    </row>
    <row r="1389" spans="38:61" ht="15" x14ac:dyDescent="0.25">
      <c r="AL1389" s="93" t="s">
        <v>3779</v>
      </c>
      <c r="AM1389" s="92" t="s">
        <v>3780</v>
      </c>
      <c r="AW1389" s="103"/>
      <c r="BI1389"/>
    </row>
    <row r="1390" spans="38:61" ht="15" x14ac:dyDescent="0.25">
      <c r="AL1390" s="93" t="s">
        <v>3781</v>
      </c>
      <c r="AM1390" s="92" t="s">
        <v>3782</v>
      </c>
      <c r="AW1390" s="103"/>
      <c r="BI1390"/>
    </row>
    <row r="1391" spans="38:61" ht="15" x14ac:dyDescent="0.25">
      <c r="AL1391" s="93" t="s">
        <v>3783</v>
      </c>
      <c r="AM1391" s="92" t="s">
        <v>3784</v>
      </c>
      <c r="AW1391" s="103"/>
      <c r="BI1391"/>
    </row>
    <row r="1392" spans="38:61" ht="15" x14ac:dyDescent="0.25">
      <c r="AL1392" s="93" t="s">
        <v>3785</v>
      </c>
      <c r="AM1392" s="92" t="s">
        <v>3786</v>
      </c>
      <c r="AW1392" s="103"/>
      <c r="BI1392"/>
    </row>
    <row r="1393" spans="38:61" ht="15" x14ac:dyDescent="0.25">
      <c r="AL1393" s="93" t="s">
        <v>3787</v>
      </c>
      <c r="AM1393" s="92" t="s">
        <v>3788</v>
      </c>
      <c r="AW1393" s="103"/>
      <c r="BI1393"/>
    </row>
    <row r="1394" spans="38:61" ht="15" x14ac:dyDescent="0.25">
      <c r="AL1394" s="93" t="s">
        <v>3789</v>
      </c>
      <c r="AM1394" s="92" t="s">
        <v>3790</v>
      </c>
      <c r="AW1394" s="103"/>
      <c r="BI1394"/>
    </row>
    <row r="1395" spans="38:61" ht="15" x14ac:dyDescent="0.25">
      <c r="AL1395" s="93" t="s">
        <v>3791</v>
      </c>
      <c r="AM1395" s="92" t="s">
        <v>3792</v>
      </c>
      <c r="AW1395" s="103"/>
      <c r="BI1395"/>
    </row>
    <row r="1396" spans="38:61" ht="15" x14ac:dyDescent="0.25">
      <c r="AL1396" s="93" t="s">
        <v>3793</v>
      </c>
      <c r="AM1396" s="92" t="s">
        <v>3794</v>
      </c>
      <c r="AW1396" s="103"/>
      <c r="BI1396"/>
    </row>
    <row r="1397" spans="38:61" ht="15" x14ac:dyDescent="0.25">
      <c r="AL1397" s="93" t="s">
        <v>3795</v>
      </c>
      <c r="AM1397" s="92" t="s">
        <v>3796</v>
      </c>
      <c r="AW1397" s="103"/>
      <c r="BI1397"/>
    </row>
    <row r="1398" spans="38:61" ht="15" x14ac:dyDescent="0.25">
      <c r="AL1398" s="93" t="s">
        <v>3797</v>
      </c>
      <c r="AM1398" s="92" t="s">
        <v>3798</v>
      </c>
      <c r="AW1398" s="103"/>
      <c r="BI1398"/>
    </row>
    <row r="1399" spans="38:61" ht="15" x14ac:dyDescent="0.25">
      <c r="AL1399" s="93" t="s">
        <v>3799</v>
      </c>
      <c r="AM1399" s="92" t="s">
        <v>3800</v>
      </c>
      <c r="AW1399" s="103"/>
      <c r="BI1399"/>
    </row>
    <row r="1400" spans="38:61" ht="15" x14ac:dyDescent="0.25">
      <c r="AL1400" s="93" t="s">
        <v>3801</v>
      </c>
      <c r="AM1400" s="92" t="s">
        <v>3802</v>
      </c>
      <c r="AW1400" s="103"/>
      <c r="BI1400"/>
    </row>
    <row r="1401" spans="38:61" ht="15" x14ac:dyDescent="0.25">
      <c r="AL1401" s="93" t="s">
        <v>3803</v>
      </c>
      <c r="AM1401" s="92" t="s">
        <v>3804</v>
      </c>
      <c r="AW1401" s="103"/>
      <c r="BI1401"/>
    </row>
    <row r="1402" spans="38:61" ht="15" x14ac:dyDescent="0.25">
      <c r="AL1402" s="93" t="s">
        <v>3805</v>
      </c>
      <c r="AM1402" s="92" t="s">
        <v>3806</v>
      </c>
      <c r="AW1402" s="103"/>
      <c r="BI1402"/>
    </row>
    <row r="1403" spans="38:61" ht="15" x14ac:dyDescent="0.25">
      <c r="AL1403" s="93" t="s">
        <v>3807</v>
      </c>
      <c r="AM1403" s="92" t="s">
        <v>3808</v>
      </c>
      <c r="AW1403" s="103"/>
      <c r="BI1403"/>
    </row>
    <row r="1404" spans="38:61" ht="15" x14ac:dyDescent="0.25">
      <c r="AL1404" s="93" t="s">
        <v>3809</v>
      </c>
      <c r="AM1404" s="92" t="s">
        <v>3810</v>
      </c>
      <c r="AW1404" s="103"/>
      <c r="BI1404"/>
    </row>
    <row r="1405" spans="38:61" ht="15" x14ac:dyDescent="0.25">
      <c r="AL1405" s="93" t="s">
        <v>3811</v>
      </c>
      <c r="AM1405" s="92" t="s">
        <v>3812</v>
      </c>
      <c r="AW1405" s="103"/>
      <c r="BI1405"/>
    </row>
    <row r="1406" spans="38:61" ht="15" x14ac:dyDescent="0.25">
      <c r="AL1406" s="93" t="s">
        <v>3813</v>
      </c>
      <c r="AM1406" s="92" t="s">
        <v>3814</v>
      </c>
      <c r="AW1406" s="103"/>
      <c r="BI1406"/>
    </row>
    <row r="1407" spans="38:61" ht="15" x14ac:dyDescent="0.25">
      <c r="AL1407" s="93" t="s">
        <v>3815</v>
      </c>
      <c r="AM1407" s="92" t="s">
        <v>3816</v>
      </c>
      <c r="AW1407" s="103"/>
      <c r="BI1407"/>
    </row>
    <row r="1408" spans="38:61" ht="15" x14ac:dyDescent="0.25">
      <c r="AL1408" s="93" t="s">
        <v>3817</v>
      </c>
      <c r="AM1408" s="92" t="s">
        <v>3818</v>
      </c>
      <c r="AW1408" s="103"/>
      <c r="BI1408"/>
    </row>
    <row r="1409" spans="38:61" ht="15" x14ac:dyDescent="0.25">
      <c r="AL1409" s="93" t="s">
        <v>3819</v>
      </c>
      <c r="AM1409" s="92" t="s">
        <v>3820</v>
      </c>
      <c r="AW1409" s="103"/>
      <c r="BI1409"/>
    </row>
    <row r="1410" spans="38:61" ht="15" x14ac:dyDescent="0.25">
      <c r="AL1410" s="93" t="s">
        <v>3821</v>
      </c>
      <c r="AM1410" s="92" t="s">
        <v>3822</v>
      </c>
      <c r="AW1410" s="103"/>
      <c r="BI1410"/>
    </row>
    <row r="1411" spans="38:61" ht="15" x14ac:dyDescent="0.25">
      <c r="AL1411" s="93" t="s">
        <v>3823</v>
      </c>
      <c r="AM1411" s="92" t="s">
        <v>3824</v>
      </c>
      <c r="AW1411" s="103"/>
      <c r="BI1411"/>
    </row>
    <row r="1412" spans="38:61" ht="15" x14ac:dyDescent="0.25">
      <c r="AL1412" s="93" t="s">
        <v>3825</v>
      </c>
      <c r="AM1412" s="92" t="s">
        <v>3826</v>
      </c>
      <c r="AW1412" s="103"/>
      <c r="BI1412"/>
    </row>
    <row r="1413" spans="38:61" ht="15" x14ac:dyDescent="0.25">
      <c r="AL1413" s="93" t="s">
        <v>3827</v>
      </c>
      <c r="AM1413" s="92" t="s">
        <v>3828</v>
      </c>
      <c r="AW1413" s="103"/>
      <c r="BI1413"/>
    </row>
    <row r="1414" spans="38:61" ht="15" x14ac:dyDescent="0.25">
      <c r="AL1414" s="93" t="s">
        <v>3829</v>
      </c>
      <c r="AM1414" s="92" t="s">
        <v>3830</v>
      </c>
      <c r="AW1414" s="103"/>
      <c r="BI1414"/>
    </row>
    <row r="1415" spans="38:61" ht="15" x14ac:dyDescent="0.25">
      <c r="AL1415" s="93" t="s">
        <v>3831</v>
      </c>
      <c r="AM1415" s="92" t="s">
        <v>3832</v>
      </c>
      <c r="AW1415" s="103"/>
      <c r="BI1415"/>
    </row>
    <row r="1416" spans="38:61" ht="15" x14ac:dyDescent="0.25">
      <c r="AL1416" s="93" t="s">
        <v>3833</v>
      </c>
      <c r="AM1416" s="92" t="s">
        <v>3834</v>
      </c>
      <c r="AW1416" s="103"/>
      <c r="BI1416"/>
    </row>
    <row r="1417" spans="38:61" ht="15" x14ac:dyDescent="0.25">
      <c r="AL1417" s="93" t="s">
        <v>3835</v>
      </c>
      <c r="AM1417" s="92" t="s">
        <v>3836</v>
      </c>
      <c r="AW1417" s="103"/>
      <c r="BI1417"/>
    </row>
    <row r="1418" spans="38:61" ht="15" x14ac:dyDescent="0.25">
      <c r="AL1418" s="93" t="s">
        <v>3837</v>
      </c>
      <c r="AM1418" s="92" t="s">
        <v>3838</v>
      </c>
      <c r="AW1418" s="103"/>
      <c r="BI1418"/>
    </row>
    <row r="1419" spans="38:61" ht="15" x14ac:dyDescent="0.25">
      <c r="AL1419" s="93" t="s">
        <v>3839</v>
      </c>
      <c r="AM1419" s="92" t="s">
        <v>3840</v>
      </c>
      <c r="AW1419" s="103"/>
      <c r="BI1419"/>
    </row>
    <row r="1420" spans="38:61" ht="15" x14ac:dyDescent="0.25">
      <c r="AL1420" s="93" t="s">
        <v>3841</v>
      </c>
      <c r="AM1420" s="92" t="s">
        <v>3842</v>
      </c>
      <c r="AW1420" s="103"/>
      <c r="BI1420"/>
    </row>
    <row r="1421" spans="38:61" ht="15" x14ac:dyDescent="0.25">
      <c r="AL1421" s="93" t="s">
        <v>3843</v>
      </c>
      <c r="AM1421" s="92" t="s">
        <v>3844</v>
      </c>
      <c r="AW1421" s="103"/>
      <c r="BI1421"/>
    </row>
    <row r="1422" spans="38:61" ht="15" x14ac:dyDescent="0.25">
      <c r="AL1422" s="93" t="s">
        <v>3845</v>
      </c>
      <c r="AM1422" s="92" t="s">
        <v>3846</v>
      </c>
      <c r="AW1422" s="103"/>
      <c r="BI1422"/>
    </row>
    <row r="1423" spans="38:61" ht="15" x14ac:dyDescent="0.25">
      <c r="AL1423" s="93" t="s">
        <v>3847</v>
      </c>
      <c r="AM1423" s="92" t="s">
        <v>3848</v>
      </c>
      <c r="AW1423" s="103"/>
      <c r="BI1423"/>
    </row>
    <row r="1424" spans="38:61" ht="15" x14ac:dyDescent="0.25">
      <c r="AL1424" s="93" t="s">
        <v>3849</v>
      </c>
      <c r="AM1424" s="92" t="s">
        <v>3850</v>
      </c>
      <c r="AW1424" s="103"/>
      <c r="BI1424"/>
    </row>
    <row r="1425" spans="38:61" ht="15" x14ac:dyDescent="0.25">
      <c r="AL1425" s="93" t="s">
        <v>3851</v>
      </c>
      <c r="AM1425" s="92" t="s">
        <v>3852</v>
      </c>
      <c r="AW1425" s="103"/>
      <c r="BI1425"/>
    </row>
    <row r="1426" spans="38:61" ht="15" x14ac:dyDescent="0.25">
      <c r="AL1426" s="93" t="s">
        <v>3853</v>
      </c>
      <c r="AM1426" s="92" t="s">
        <v>3854</v>
      </c>
      <c r="AW1426" s="103"/>
      <c r="BI1426"/>
    </row>
    <row r="1427" spans="38:61" ht="15" x14ac:dyDescent="0.25">
      <c r="AL1427" s="93" t="s">
        <v>3855</v>
      </c>
      <c r="AM1427" s="92" t="s">
        <v>3856</v>
      </c>
      <c r="AW1427" s="103"/>
      <c r="BI1427"/>
    </row>
    <row r="1428" spans="38:61" ht="15" x14ac:dyDescent="0.25">
      <c r="AL1428" s="93" t="s">
        <v>3857</v>
      </c>
      <c r="AM1428" s="92" t="s">
        <v>3858</v>
      </c>
      <c r="AW1428" s="103"/>
      <c r="BI1428"/>
    </row>
    <row r="1429" spans="38:61" ht="15" x14ac:dyDescent="0.25">
      <c r="AL1429" s="93" t="s">
        <v>3859</v>
      </c>
      <c r="AM1429" s="92" t="s">
        <v>3860</v>
      </c>
      <c r="AW1429" s="103"/>
      <c r="BI1429"/>
    </row>
    <row r="1430" spans="38:61" ht="15" x14ac:dyDescent="0.25">
      <c r="AL1430" s="93" t="s">
        <v>3861</v>
      </c>
      <c r="AM1430" s="92" t="s">
        <v>3862</v>
      </c>
      <c r="AW1430" s="103"/>
      <c r="BI1430"/>
    </row>
    <row r="1431" spans="38:61" ht="15" x14ac:dyDescent="0.25">
      <c r="AL1431" s="93" t="s">
        <v>3863</v>
      </c>
      <c r="AM1431" s="92" t="s">
        <v>3864</v>
      </c>
      <c r="AW1431" s="103"/>
      <c r="BI1431"/>
    </row>
    <row r="1432" spans="38:61" ht="15" x14ac:dyDescent="0.25">
      <c r="AL1432" s="93" t="s">
        <v>3865</v>
      </c>
      <c r="AM1432" s="92" t="s">
        <v>3866</v>
      </c>
      <c r="AW1432" s="103"/>
      <c r="BI1432"/>
    </row>
    <row r="1433" spans="38:61" ht="15" x14ac:dyDescent="0.25">
      <c r="AL1433" s="93" t="s">
        <v>3867</v>
      </c>
      <c r="AM1433" s="92" t="s">
        <v>3868</v>
      </c>
      <c r="AW1433" s="103"/>
      <c r="BI1433"/>
    </row>
    <row r="1434" spans="38:61" ht="15" x14ac:dyDescent="0.25">
      <c r="AL1434" s="93" t="s">
        <v>3869</v>
      </c>
      <c r="AM1434" s="92" t="s">
        <v>3870</v>
      </c>
      <c r="AW1434" s="103"/>
      <c r="BI1434"/>
    </row>
    <row r="1435" spans="38:61" ht="15" x14ac:dyDescent="0.25">
      <c r="AL1435" s="93" t="s">
        <v>3871</v>
      </c>
      <c r="AM1435" s="92" t="s">
        <v>3872</v>
      </c>
      <c r="AW1435" s="103"/>
      <c r="BI1435"/>
    </row>
    <row r="1436" spans="38:61" ht="15" x14ac:dyDescent="0.25">
      <c r="AL1436" s="93" t="s">
        <v>3873</v>
      </c>
      <c r="AM1436" s="92" t="s">
        <v>3874</v>
      </c>
      <c r="AW1436" s="103"/>
      <c r="BI1436"/>
    </row>
    <row r="1437" spans="38:61" ht="15" x14ac:dyDescent="0.25">
      <c r="AL1437" s="93" t="s">
        <v>3875</v>
      </c>
      <c r="AM1437" s="92" t="s">
        <v>3876</v>
      </c>
      <c r="AW1437" s="103"/>
      <c r="BI1437"/>
    </row>
    <row r="1438" spans="38:61" ht="15" x14ac:dyDescent="0.25">
      <c r="AL1438" s="93" t="s">
        <v>3877</v>
      </c>
      <c r="AM1438" s="92" t="s">
        <v>3878</v>
      </c>
      <c r="AW1438" s="103"/>
      <c r="BI1438"/>
    </row>
    <row r="1439" spans="38:61" ht="15" x14ac:dyDescent="0.25">
      <c r="AL1439" s="93" t="s">
        <v>3879</v>
      </c>
      <c r="AM1439" s="92" t="s">
        <v>3880</v>
      </c>
      <c r="AW1439" s="103"/>
      <c r="BI1439"/>
    </row>
    <row r="1440" spans="38:61" ht="15" x14ac:dyDescent="0.25">
      <c r="AL1440" s="93" t="s">
        <v>3881</v>
      </c>
      <c r="AM1440" s="92" t="s">
        <v>3882</v>
      </c>
      <c r="AW1440" s="103"/>
      <c r="BI1440"/>
    </row>
    <row r="1441" spans="38:61" ht="15" x14ac:dyDescent="0.25">
      <c r="AL1441" s="93" t="s">
        <v>3883</v>
      </c>
      <c r="AM1441" s="92" t="s">
        <v>3884</v>
      </c>
      <c r="AW1441" s="103"/>
      <c r="BI1441"/>
    </row>
    <row r="1442" spans="38:61" ht="15" x14ac:dyDescent="0.25">
      <c r="AL1442" s="93" t="s">
        <v>3885</v>
      </c>
      <c r="AM1442" s="92" t="s">
        <v>3886</v>
      </c>
      <c r="AW1442" s="103"/>
      <c r="BI1442"/>
    </row>
    <row r="1443" spans="38:61" ht="15" x14ac:dyDescent="0.25">
      <c r="AL1443" s="93" t="s">
        <v>3887</v>
      </c>
      <c r="AM1443" s="92" t="s">
        <v>3888</v>
      </c>
      <c r="AW1443" s="103"/>
      <c r="BI1443"/>
    </row>
    <row r="1444" spans="38:61" ht="15" x14ac:dyDescent="0.25">
      <c r="AL1444" s="93" t="s">
        <v>3889</v>
      </c>
      <c r="AM1444" s="92" t="s">
        <v>3890</v>
      </c>
      <c r="AW1444" s="103"/>
      <c r="BI1444"/>
    </row>
    <row r="1445" spans="38:61" ht="15" x14ac:dyDescent="0.25">
      <c r="AL1445" s="93" t="s">
        <v>3891</v>
      </c>
      <c r="AM1445" s="92" t="s">
        <v>3892</v>
      </c>
      <c r="AW1445" s="103"/>
      <c r="BI1445"/>
    </row>
    <row r="1446" spans="38:61" ht="15" x14ac:dyDescent="0.25">
      <c r="AL1446" s="93" t="s">
        <v>3893</v>
      </c>
      <c r="AM1446" s="92" t="s">
        <v>3894</v>
      </c>
      <c r="AW1446" s="103"/>
      <c r="BI1446"/>
    </row>
    <row r="1447" spans="38:61" ht="15" x14ac:dyDescent="0.25">
      <c r="AL1447" s="93" t="s">
        <v>3895</v>
      </c>
      <c r="AM1447" s="92" t="s">
        <v>3896</v>
      </c>
      <c r="AW1447" s="103"/>
      <c r="BI1447"/>
    </row>
    <row r="1448" spans="38:61" ht="15" x14ac:dyDescent="0.25">
      <c r="AL1448" s="93" t="s">
        <v>3897</v>
      </c>
      <c r="AM1448" s="92" t="s">
        <v>3898</v>
      </c>
      <c r="AW1448" s="103"/>
      <c r="BI1448"/>
    </row>
    <row r="1449" spans="38:61" ht="15" x14ac:dyDescent="0.25">
      <c r="AL1449" s="93" t="s">
        <v>3899</v>
      </c>
      <c r="AM1449" s="92" t="s">
        <v>3900</v>
      </c>
      <c r="AW1449" s="103"/>
      <c r="BI1449"/>
    </row>
    <row r="1450" spans="38:61" ht="15" x14ac:dyDescent="0.25">
      <c r="AL1450" s="93" t="s">
        <v>3901</v>
      </c>
      <c r="AM1450" s="92" t="s">
        <v>3902</v>
      </c>
      <c r="AW1450" s="103"/>
      <c r="BI1450"/>
    </row>
    <row r="1451" spans="38:61" ht="15" x14ac:dyDescent="0.25">
      <c r="AL1451" s="93" t="s">
        <v>3903</v>
      </c>
      <c r="AM1451" s="92" t="s">
        <v>3904</v>
      </c>
      <c r="AW1451" s="103"/>
      <c r="BI1451"/>
    </row>
    <row r="1452" spans="38:61" ht="15" x14ac:dyDescent="0.25">
      <c r="AL1452" s="93" t="s">
        <v>3905</v>
      </c>
      <c r="AM1452" s="92" t="s">
        <v>3906</v>
      </c>
      <c r="AW1452" s="103"/>
      <c r="BI1452"/>
    </row>
    <row r="1453" spans="38:61" ht="15" x14ac:dyDescent="0.25">
      <c r="AL1453" s="93" t="s">
        <v>3907</v>
      </c>
      <c r="AM1453" s="92" t="s">
        <v>3908</v>
      </c>
      <c r="AW1453" s="103"/>
      <c r="BI1453"/>
    </row>
    <row r="1454" spans="38:61" ht="15" x14ac:dyDescent="0.25">
      <c r="AL1454" s="93" t="s">
        <v>3909</v>
      </c>
      <c r="AM1454" s="92" t="s">
        <v>3910</v>
      </c>
      <c r="AW1454" s="103"/>
      <c r="BI1454"/>
    </row>
    <row r="1455" spans="38:61" ht="15" x14ac:dyDescent="0.25">
      <c r="AL1455" s="93" t="s">
        <v>3911</v>
      </c>
      <c r="AM1455" s="92" t="s">
        <v>3912</v>
      </c>
      <c r="AW1455" s="103"/>
      <c r="BI1455"/>
    </row>
    <row r="1456" spans="38:61" ht="15" x14ac:dyDescent="0.25">
      <c r="AL1456" s="93" t="s">
        <v>3913</v>
      </c>
      <c r="AM1456" s="92" t="s">
        <v>3914</v>
      </c>
      <c r="AW1456" s="103"/>
      <c r="BI1456"/>
    </row>
    <row r="1457" spans="38:61" ht="15" x14ac:dyDescent="0.25">
      <c r="AL1457" s="93" t="s">
        <v>3915</v>
      </c>
      <c r="AM1457" s="92" t="s">
        <v>3916</v>
      </c>
      <c r="AW1457" s="103"/>
      <c r="BI1457"/>
    </row>
    <row r="1458" spans="38:61" ht="15" x14ac:dyDescent="0.25">
      <c r="AL1458" s="93" t="s">
        <v>3917</v>
      </c>
      <c r="AM1458" s="92" t="s">
        <v>3918</v>
      </c>
      <c r="AW1458" s="103"/>
      <c r="BI1458"/>
    </row>
    <row r="1459" spans="38:61" ht="15" x14ac:dyDescent="0.25">
      <c r="AL1459" s="93" t="s">
        <v>3919</v>
      </c>
      <c r="AM1459" s="92" t="s">
        <v>3920</v>
      </c>
      <c r="AW1459" s="103"/>
      <c r="BI1459"/>
    </row>
    <row r="1460" spans="38:61" ht="15" x14ac:dyDescent="0.25">
      <c r="AL1460" s="93" t="s">
        <v>3921</v>
      </c>
      <c r="AM1460" s="92" t="s">
        <v>3922</v>
      </c>
      <c r="AW1460" s="103"/>
      <c r="BI1460"/>
    </row>
    <row r="1461" spans="38:61" ht="15" x14ac:dyDescent="0.25">
      <c r="AL1461" s="93" t="s">
        <v>3923</v>
      </c>
      <c r="AM1461" s="92" t="s">
        <v>3924</v>
      </c>
      <c r="AW1461" s="103"/>
      <c r="BI1461"/>
    </row>
    <row r="1462" spans="38:61" ht="15" x14ac:dyDescent="0.25">
      <c r="AL1462" s="93" t="s">
        <v>3925</v>
      </c>
      <c r="AM1462" s="92" t="s">
        <v>3926</v>
      </c>
      <c r="AW1462" s="103"/>
      <c r="BI1462"/>
    </row>
    <row r="1463" spans="38:61" ht="15" x14ac:dyDescent="0.25">
      <c r="AL1463" s="93" t="s">
        <v>3927</v>
      </c>
      <c r="AM1463" s="92" t="s">
        <v>3928</v>
      </c>
      <c r="AW1463" s="103"/>
      <c r="BI1463"/>
    </row>
    <row r="1464" spans="38:61" ht="15" x14ac:dyDescent="0.25">
      <c r="AL1464" s="93" t="s">
        <v>3929</v>
      </c>
      <c r="AM1464" s="92" t="s">
        <v>3930</v>
      </c>
      <c r="AW1464" s="103"/>
      <c r="BI1464"/>
    </row>
    <row r="1465" spans="38:61" ht="15" x14ac:dyDescent="0.25">
      <c r="AL1465" s="93" t="s">
        <v>3931</v>
      </c>
      <c r="AM1465" s="92" t="s">
        <v>3932</v>
      </c>
      <c r="AW1465" s="103"/>
      <c r="BI1465"/>
    </row>
    <row r="1466" spans="38:61" ht="15" x14ac:dyDescent="0.25">
      <c r="AL1466" s="93" t="s">
        <v>3933</v>
      </c>
      <c r="AM1466" s="92" t="s">
        <v>3934</v>
      </c>
      <c r="AW1466" s="103"/>
      <c r="BI1466"/>
    </row>
    <row r="1467" spans="38:61" ht="15" x14ac:dyDescent="0.25">
      <c r="AL1467" s="93" t="s">
        <v>3935</v>
      </c>
      <c r="AM1467" s="92" t="s">
        <v>3936</v>
      </c>
      <c r="BI1467"/>
    </row>
    <row r="1468" spans="38:61" ht="15" x14ac:dyDescent="0.25">
      <c r="AL1468" s="93" t="s">
        <v>3937</v>
      </c>
      <c r="AM1468" s="92" t="s">
        <v>3938</v>
      </c>
      <c r="BI1468"/>
    </row>
    <row r="1469" spans="38:61" ht="15" x14ac:dyDescent="0.25">
      <c r="AL1469" s="93" t="s">
        <v>3939</v>
      </c>
      <c r="AM1469" s="92" t="s">
        <v>3940</v>
      </c>
      <c r="BI1469"/>
    </row>
    <row r="1470" spans="38:61" ht="15" x14ac:dyDescent="0.25">
      <c r="AL1470" s="93" t="s">
        <v>3941</v>
      </c>
      <c r="AM1470" s="92" t="s">
        <v>3942</v>
      </c>
      <c r="BI1470"/>
    </row>
    <row r="1471" spans="38:61" ht="15" x14ac:dyDescent="0.25">
      <c r="AL1471" s="93" t="s">
        <v>3943</v>
      </c>
      <c r="AM1471" s="92" t="s">
        <v>3944</v>
      </c>
      <c r="BI1471"/>
    </row>
    <row r="1472" spans="38:61" ht="15" x14ac:dyDescent="0.25">
      <c r="AL1472" s="93" t="s">
        <v>3945</v>
      </c>
      <c r="AM1472" s="92" t="s">
        <v>3946</v>
      </c>
      <c r="BI1472"/>
    </row>
    <row r="1473" spans="38:61" ht="15" x14ac:dyDescent="0.25">
      <c r="AL1473" s="93" t="s">
        <v>3947</v>
      </c>
      <c r="AM1473" s="92" t="s">
        <v>3948</v>
      </c>
      <c r="BI1473"/>
    </row>
    <row r="1474" spans="38:61" ht="15" x14ac:dyDescent="0.25">
      <c r="AL1474" s="93" t="s">
        <v>3949</v>
      </c>
      <c r="AM1474" s="92" t="s">
        <v>3950</v>
      </c>
      <c r="BI1474"/>
    </row>
    <row r="1475" spans="38:61" ht="15" x14ac:dyDescent="0.25">
      <c r="AL1475" s="93" t="s">
        <v>3951</v>
      </c>
      <c r="AM1475" s="92" t="s">
        <v>3952</v>
      </c>
      <c r="BI1475"/>
    </row>
    <row r="1476" spans="38:61" ht="15" x14ac:dyDescent="0.25">
      <c r="AL1476" s="93" t="s">
        <v>3953</v>
      </c>
      <c r="AM1476" s="92" t="s">
        <v>3954</v>
      </c>
      <c r="BI1476"/>
    </row>
    <row r="1477" spans="38:61" ht="15" x14ac:dyDescent="0.25">
      <c r="AL1477" s="93" t="s">
        <v>3955</v>
      </c>
      <c r="AM1477" s="92" t="s">
        <v>3956</v>
      </c>
      <c r="BI1477"/>
    </row>
    <row r="1478" spans="38:61" ht="15" x14ac:dyDescent="0.25">
      <c r="AL1478" s="93" t="s">
        <v>3957</v>
      </c>
      <c r="AM1478" s="92" t="s">
        <v>3958</v>
      </c>
      <c r="BI1478"/>
    </row>
    <row r="1479" spans="38:61" ht="15" x14ac:dyDescent="0.25">
      <c r="AL1479" s="93" t="s">
        <v>3959</v>
      </c>
      <c r="AM1479" s="92" t="s">
        <v>3960</v>
      </c>
      <c r="BI1479"/>
    </row>
    <row r="1480" spans="38:61" ht="15" x14ac:dyDescent="0.25">
      <c r="AL1480" s="93" t="s">
        <v>3961</v>
      </c>
      <c r="AM1480" s="92" t="s">
        <v>3962</v>
      </c>
      <c r="BI1480"/>
    </row>
    <row r="1481" spans="38:61" ht="15" x14ac:dyDescent="0.25">
      <c r="AL1481" s="93" t="s">
        <v>3963</v>
      </c>
      <c r="AM1481" s="92" t="s">
        <v>3964</v>
      </c>
      <c r="BI1481"/>
    </row>
    <row r="1482" spans="38:61" ht="15" x14ac:dyDescent="0.25">
      <c r="AL1482" s="93" t="s">
        <v>3965</v>
      </c>
      <c r="AM1482" s="92" t="s">
        <v>3966</v>
      </c>
      <c r="BI1482"/>
    </row>
    <row r="1483" spans="38:61" ht="15" x14ac:dyDescent="0.25">
      <c r="AL1483" s="93" t="s">
        <v>3967</v>
      </c>
      <c r="AM1483" s="92" t="s">
        <v>3968</v>
      </c>
      <c r="BI1483"/>
    </row>
    <row r="1484" spans="38:61" ht="15" x14ac:dyDescent="0.25">
      <c r="AL1484" s="93" t="s">
        <v>3969</v>
      </c>
      <c r="AM1484" s="92" t="s">
        <v>3970</v>
      </c>
      <c r="BI1484"/>
    </row>
    <row r="1485" spans="38:61" ht="15" x14ac:dyDescent="0.25">
      <c r="AL1485" s="93" t="s">
        <v>3971</v>
      </c>
      <c r="AM1485" s="92" t="s">
        <v>3972</v>
      </c>
      <c r="BI1485"/>
    </row>
    <row r="1486" spans="38:61" ht="15" x14ac:dyDescent="0.25">
      <c r="AL1486" s="93" t="s">
        <v>3973</v>
      </c>
      <c r="AM1486" s="92" t="s">
        <v>3974</v>
      </c>
      <c r="BI1486"/>
    </row>
    <row r="1487" spans="38:61" ht="15" x14ac:dyDescent="0.25">
      <c r="AL1487" s="93" t="s">
        <v>3975</v>
      </c>
      <c r="AM1487" s="92" t="s">
        <v>3976</v>
      </c>
      <c r="BI1487"/>
    </row>
    <row r="1488" spans="38:61" ht="15" x14ac:dyDescent="0.25">
      <c r="AL1488" s="93" t="s">
        <v>3977</v>
      </c>
      <c r="AM1488" s="92" t="s">
        <v>3978</v>
      </c>
      <c r="BI1488"/>
    </row>
    <row r="1489" spans="38:61" ht="15" x14ac:dyDescent="0.25">
      <c r="AL1489" s="93" t="s">
        <v>3979</v>
      </c>
      <c r="AM1489" s="92" t="s">
        <v>3980</v>
      </c>
      <c r="BI1489"/>
    </row>
    <row r="1490" spans="38:61" ht="15" x14ac:dyDescent="0.25">
      <c r="AL1490" s="93" t="s">
        <v>3981</v>
      </c>
      <c r="AM1490" s="92" t="s">
        <v>3982</v>
      </c>
      <c r="BI1490"/>
    </row>
    <row r="1491" spans="38:61" ht="15" x14ac:dyDescent="0.25">
      <c r="AL1491" s="93" t="s">
        <v>3983</v>
      </c>
      <c r="AM1491" s="92" t="s">
        <v>3984</v>
      </c>
      <c r="BI1491"/>
    </row>
    <row r="1492" spans="38:61" ht="15" x14ac:dyDescent="0.25">
      <c r="AL1492" s="93" t="s">
        <v>3985</v>
      </c>
      <c r="AM1492" s="92" t="s">
        <v>3986</v>
      </c>
      <c r="BI1492"/>
    </row>
    <row r="1493" spans="38:61" ht="15" x14ac:dyDescent="0.25">
      <c r="AL1493" s="93" t="s">
        <v>3987</v>
      </c>
      <c r="AM1493" s="92" t="s">
        <v>3988</v>
      </c>
      <c r="BI1493"/>
    </row>
    <row r="1494" spans="38:61" ht="15" x14ac:dyDescent="0.25">
      <c r="AL1494" s="93" t="s">
        <v>3989</v>
      </c>
      <c r="AM1494" s="92" t="s">
        <v>3990</v>
      </c>
      <c r="BI1494"/>
    </row>
    <row r="1495" spans="38:61" ht="15" x14ac:dyDescent="0.25">
      <c r="AL1495" s="93" t="s">
        <v>3991</v>
      </c>
      <c r="AM1495" s="92" t="s">
        <v>3992</v>
      </c>
      <c r="BI1495"/>
    </row>
    <row r="1496" spans="38:61" ht="15" x14ac:dyDescent="0.25">
      <c r="AL1496" s="93" t="s">
        <v>3993</v>
      </c>
      <c r="AM1496" s="92" t="s">
        <v>3994</v>
      </c>
      <c r="BI1496"/>
    </row>
    <row r="1497" spans="38:61" ht="15" x14ac:dyDescent="0.25">
      <c r="AL1497" s="93" t="s">
        <v>3995</v>
      </c>
      <c r="AM1497" s="92" t="s">
        <v>3996</v>
      </c>
      <c r="BI1497"/>
    </row>
    <row r="1498" spans="38:61" ht="15" x14ac:dyDescent="0.25">
      <c r="AL1498" s="93" t="s">
        <v>3997</v>
      </c>
      <c r="AM1498" s="92" t="s">
        <v>3998</v>
      </c>
      <c r="BI1498"/>
    </row>
    <row r="1499" spans="38:61" ht="15" x14ac:dyDescent="0.25">
      <c r="AL1499" s="93" t="s">
        <v>3999</v>
      </c>
      <c r="AM1499" s="92" t="s">
        <v>4000</v>
      </c>
      <c r="BI1499"/>
    </row>
    <row r="1500" spans="38:61" ht="15" x14ac:dyDescent="0.25">
      <c r="AL1500" s="93" t="s">
        <v>4001</v>
      </c>
      <c r="AM1500" s="92" t="s">
        <v>4002</v>
      </c>
      <c r="BI1500"/>
    </row>
    <row r="1501" spans="38:61" ht="15" x14ac:dyDescent="0.25">
      <c r="AL1501" s="93" t="s">
        <v>4003</v>
      </c>
      <c r="AM1501" s="92" t="s">
        <v>4004</v>
      </c>
      <c r="BI1501"/>
    </row>
    <row r="1502" spans="38:61" ht="15" x14ac:dyDescent="0.25">
      <c r="AL1502" s="93" t="s">
        <v>4005</v>
      </c>
      <c r="AM1502" s="92" t="s">
        <v>4006</v>
      </c>
      <c r="BI1502"/>
    </row>
    <row r="1503" spans="38:61" ht="15" x14ac:dyDescent="0.25">
      <c r="AL1503" s="93" t="s">
        <v>4007</v>
      </c>
      <c r="AM1503" s="92" t="s">
        <v>4008</v>
      </c>
      <c r="BI1503"/>
    </row>
    <row r="1504" spans="38:61" ht="15" x14ac:dyDescent="0.25">
      <c r="AL1504" s="93" t="s">
        <v>4009</v>
      </c>
      <c r="AM1504" s="92" t="s">
        <v>4010</v>
      </c>
      <c r="BI1504"/>
    </row>
    <row r="1505" spans="38:61" ht="15" x14ac:dyDescent="0.25">
      <c r="AL1505" s="93" t="s">
        <v>4011</v>
      </c>
      <c r="AM1505" s="92" t="s">
        <v>4012</v>
      </c>
      <c r="BI1505"/>
    </row>
    <row r="1506" spans="38:61" ht="15" x14ac:dyDescent="0.25">
      <c r="AL1506" s="93" t="s">
        <v>4013</v>
      </c>
      <c r="AM1506" s="92" t="s">
        <v>4014</v>
      </c>
      <c r="BI1506"/>
    </row>
    <row r="1507" spans="38:61" ht="15" x14ac:dyDescent="0.25">
      <c r="AL1507" s="93" t="s">
        <v>4015</v>
      </c>
      <c r="AM1507" s="92" t="s">
        <v>4016</v>
      </c>
      <c r="BI1507"/>
    </row>
    <row r="1508" spans="38:61" ht="15" x14ac:dyDescent="0.25">
      <c r="AL1508" s="93" t="s">
        <v>4017</v>
      </c>
      <c r="AM1508" s="92" t="s">
        <v>4018</v>
      </c>
      <c r="BI1508"/>
    </row>
    <row r="1509" spans="38:61" ht="15" x14ac:dyDescent="0.25">
      <c r="AL1509" s="93" t="s">
        <v>4019</v>
      </c>
      <c r="AM1509" s="92" t="s">
        <v>4020</v>
      </c>
      <c r="BI1509"/>
    </row>
    <row r="1510" spans="38:61" ht="15" x14ac:dyDescent="0.25">
      <c r="BI1510"/>
    </row>
    <row r="1511" spans="38:61" ht="15" x14ac:dyDescent="0.25">
      <c r="BI1511"/>
    </row>
    <row r="1512" spans="38:61" ht="15" x14ac:dyDescent="0.25">
      <c r="BI1512"/>
    </row>
    <row r="1513" spans="38:61" ht="15" x14ac:dyDescent="0.25">
      <c r="BI1513"/>
    </row>
    <row r="1514" spans="38:61" ht="15" x14ac:dyDescent="0.25">
      <c r="BI1514"/>
    </row>
    <row r="1515" spans="38:61" ht="15" x14ac:dyDescent="0.25">
      <c r="BI1515"/>
    </row>
    <row r="1516" spans="38:61" ht="15" x14ac:dyDescent="0.25">
      <c r="BI1516"/>
    </row>
    <row r="1517" spans="38:61" ht="15" x14ac:dyDescent="0.25">
      <c r="BI1517"/>
    </row>
    <row r="1518" spans="38:61" ht="15" x14ac:dyDescent="0.25">
      <c r="BI1518"/>
    </row>
    <row r="1519" spans="38:61" ht="15" x14ac:dyDescent="0.25">
      <c r="BI1519"/>
    </row>
    <row r="1520" spans="38:61" ht="15" x14ac:dyDescent="0.25">
      <c r="BI1520"/>
    </row>
    <row r="1521" spans="61:61" ht="15" x14ac:dyDescent="0.25">
      <c r="BI1521"/>
    </row>
    <row r="1522" spans="61:61" ht="15" x14ac:dyDescent="0.25">
      <c r="BI1522"/>
    </row>
    <row r="1523" spans="61:61" ht="15" x14ac:dyDescent="0.25">
      <c r="BI1523"/>
    </row>
    <row r="1524" spans="61:61" ht="15" x14ac:dyDescent="0.25">
      <c r="BI1524"/>
    </row>
  </sheetData>
  <sheetProtection deleteColumns="0" deleteRows="0"/>
  <autoFilter ref="AU1:AU95"/>
  <sortState ref="BO2:BO22">
    <sortCondition ref="BO2"/>
  </sortState>
  <conditionalFormatting sqref="AM10:AO65536">
    <cfRule type="duplicateValues" dxfId="0" priority="1"/>
  </conditionalFormatting>
  <pageMargins left="0.7" right="0.7" top="0.75" bottom="0.75" header="0.3" footer="0.3"/>
  <pageSetup orientation="portrait" r:id="rId1"/>
  <tableParts count="10">
    <tablePart r:id="rId2"/>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V23"/>
  <sheetViews>
    <sheetView topLeftCell="J3" zoomScale="130" zoomScaleNormal="130" workbookViewId="0">
      <selection activeCell="V20" sqref="V20:V21"/>
    </sheetView>
  </sheetViews>
  <sheetFormatPr defaultRowHeight="11.25" x14ac:dyDescent="0.25"/>
  <cols>
    <col min="1" max="1" width="27.5703125" style="46" customWidth="1"/>
    <col min="2" max="2" width="6.5703125" style="46" customWidth="1"/>
    <col min="3" max="3" width="11.42578125" style="45" bestFit="1" customWidth="1"/>
    <col min="4" max="4" width="7.85546875" style="45" customWidth="1"/>
    <col min="5" max="5" width="9.140625" style="46" customWidth="1"/>
    <col min="6" max="6" width="13.7109375" style="54" customWidth="1"/>
    <col min="7" max="7" width="7.5703125" style="46" customWidth="1"/>
    <col min="8" max="8" width="16.7109375" style="46" customWidth="1"/>
    <col min="9" max="9" width="15" style="46" customWidth="1"/>
    <col min="10" max="10" width="17.7109375" style="47" customWidth="1"/>
    <col min="11" max="11" width="9.5703125" style="46" bestFit="1" customWidth="1"/>
    <col min="12" max="12" width="9.7109375" style="46" bestFit="1" customWidth="1"/>
    <col min="13" max="20" width="5.7109375" style="46" customWidth="1"/>
    <col min="21" max="22" width="9.140625" style="48"/>
    <col min="23" max="16384" width="9.140625" style="46"/>
  </cols>
  <sheetData>
    <row r="1" spans="1:22" x14ac:dyDescent="0.25">
      <c r="A1" s="43" t="s">
        <v>54</v>
      </c>
      <c r="B1" s="44" t="s">
        <v>4565</v>
      </c>
      <c r="F1" s="46"/>
    </row>
    <row r="2" spans="1:22" x14ac:dyDescent="0.25">
      <c r="A2" s="43" t="s">
        <v>2</v>
      </c>
      <c r="B2" s="44" t="s">
        <v>4556</v>
      </c>
      <c r="C2" s="49"/>
      <c r="D2" s="49"/>
      <c r="E2" s="50"/>
      <c r="F2" s="50"/>
      <c r="G2" s="50"/>
      <c r="H2" s="50"/>
      <c r="I2" s="50"/>
    </row>
    <row r="3" spans="1:22" x14ac:dyDescent="0.25">
      <c r="A3" s="43" t="s">
        <v>3</v>
      </c>
      <c r="B3" s="44" t="s">
        <v>4</v>
      </c>
      <c r="C3" s="49"/>
      <c r="D3" s="49"/>
      <c r="E3" s="50"/>
      <c r="F3" s="50"/>
      <c r="G3" s="50"/>
      <c r="H3" s="50"/>
      <c r="I3" s="50"/>
    </row>
    <row r="4" spans="1:22" x14ac:dyDescent="0.25">
      <c r="A4" s="43" t="s">
        <v>5</v>
      </c>
      <c r="B4" s="44" t="s">
        <v>4529</v>
      </c>
      <c r="C4" s="49"/>
      <c r="D4" s="49"/>
      <c r="E4" s="50"/>
      <c r="F4" s="50"/>
      <c r="G4" s="50"/>
      <c r="H4" s="50"/>
      <c r="I4" s="50"/>
      <c r="S4" s="51"/>
      <c r="T4" s="51"/>
    </row>
    <row r="5" spans="1:22" x14ac:dyDescent="0.25">
      <c r="A5" s="43" t="s">
        <v>6</v>
      </c>
      <c r="B5" s="44" t="s">
        <v>472</v>
      </c>
      <c r="C5" s="49"/>
      <c r="D5" s="49"/>
      <c r="E5" s="50"/>
      <c r="F5" s="50"/>
      <c r="G5" s="50"/>
      <c r="H5" s="50"/>
      <c r="I5" s="50"/>
      <c r="Q5" s="51"/>
      <c r="R5" s="51"/>
      <c r="S5" s="51"/>
      <c r="T5" s="51"/>
    </row>
    <row r="6" spans="1:22" x14ac:dyDescent="0.25">
      <c r="A6" s="43" t="s">
        <v>7</v>
      </c>
      <c r="B6" s="44" t="s">
        <v>302</v>
      </c>
      <c r="C6" s="49"/>
      <c r="D6" s="49"/>
      <c r="E6" s="50"/>
      <c r="F6" s="50"/>
      <c r="G6" s="50"/>
      <c r="H6" s="50"/>
      <c r="I6" s="50"/>
    </row>
    <row r="7" spans="1:22" x14ac:dyDescent="0.25">
      <c r="A7" s="43" t="s">
        <v>8</v>
      </c>
      <c r="B7" s="44" t="s">
        <v>4532</v>
      </c>
      <c r="F7" s="46"/>
    </row>
    <row r="8" spans="1:22" x14ac:dyDescent="0.25">
      <c r="A8" s="43" t="s">
        <v>9</v>
      </c>
      <c r="B8" s="44" t="s">
        <v>4530</v>
      </c>
      <c r="F8" s="46"/>
    </row>
    <row r="9" spans="1:22" x14ac:dyDescent="0.25">
      <c r="A9" s="43" t="s">
        <v>10</v>
      </c>
      <c r="B9" s="44" t="s">
        <v>4531</v>
      </c>
      <c r="F9" s="46"/>
    </row>
    <row r="10" spans="1:22" x14ac:dyDescent="0.25">
      <c r="C10" s="52"/>
      <c r="D10" s="52"/>
      <c r="E10" s="53"/>
    </row>
    <row r="11" spans="1:22" s="61" customFormat="1" ht="39" customHeight="1" x14ac:dyDescent="0.25">
      <c r="A11" s="55" t="s">
        <v>55</v>
      </c>
      <c r="B11" s="55" t="s">
        <v>56</v>
      </c>
      <c r="C11" s="56" t="s">
        <v>57</v>
      </c>
      <c r="D11" s="56" t="s">
        <v>58</v>
      </c>
      <c r="E11" s="57" t="s">
        <v>59</v>
      </c>
      <c r="F11" s="57" t="s">
        <v>60</v>
      </c>
      <c r="G11" s="57" t="s">
        <v>61</v>
      </c>
      <c r="H11" s="57" t="s">
        <v>62</v>
      </c>
      <c r="I11" s="57" t="s">
        <v>63</v>
      </c>
      <c r="J11" s="58" t="s">
        <v>4023</v>
      </c>
      <c r="K11" s="57" t="s">
        <v>64</v>
      </c>
      <c r="L11" s="57" t="s">
        <v>65</v>
      </c>
      <c r="M11" s="57" t="s">
        <v>66</v>
      </c>
      <c r="N11" s="57" t="s">
        <v>67</v>
      </c>
      <c r="O11" s="57" t="s">
        <v>68</v>
      </c>
      <c r="P11" s="57" t="s">
        <v>69</v>
      </c>
      <c r="Q11" s="57" t="s">
        <v>70</v>
      </c>
      <c r="R11" s="57" t="s">
        <v>71</v>
      </c>
      <c r="S11" s="57" t="s">
        <v>72</v>
      </c>
      <c r="T11" s="59" t="s">
        <v>73</v>
      </c>
      <c r="U11" s="60" t="s">
        <v>74</v>
      </c>
      <c r="V11" s="60" t="s">
        <v>75</v>
      </c>
    </row>
    <row r="12" spans="1:22" ht="12.75" customHeight="1" x14ac:dyDescent="0.25">
      <c r="A12" s="62" t="s">
        <v>363</v>
      </c>
      <c r="B12" s="62" t="s">
        <v>4557</v>
      </c>
      <c r="C12" s="63">
        <v>42728</v>
      </c>
      <c r="D12" s="63">
        <v>42725</v>
      </c>
      <c r="E12" s="62" t="s">
        <v>4559</v>
      </c>
      <c r="F12" s="64" t="s">
        <v>4537</v>
      </c>
      <c r="G12" s="62" t="s">
        <v>4536</v>
      </c>
      <c r="H12" s="62" t="s">
        <v>4535</v>
      </c>
      <c r="I12" s="62" t="s">
        <v>571</v>
      </c>
      <c r="J12" s="147">
        <v>2</v>
      </c>
      <c r="K12" s="62" t="s">
        <v>4533</v>
      </c>
      <c r="L12" s="65" t="s">
        <v>4538</v>
      </c>
      <c r="M12" s="62" t="s">
        <v>4534</v>
      </c>
      <c r="N12" s="62">
        <v>481</v>
      </c>
      <c r="O12" s="62">
        <v>1149</v>
      </c>
      <c r="P12" s="62">
        <v>581</v>
      </c>
      <c r="Q12" s="62">
        <v>108</v>
      </c>
      <c r="R12" s="62"/>
      <c r="S12" s="62"/>
      <c r="T12" s="148">
        <f>SUM(N12:S12)</f>
        <v>2319</v>
      </c>
      <c r="U12" s="65"/>
      <c r="V12" s="65"/>
    </row>
    <row r="13" spans="1:22" hidden="1" x14ac:dyDescent="0.25">
      <c r="A13" s="62" t="s">
        <v>363</v>
      </c>
      <c r="B13" s="62" t="s">
        <v>4557</v>
      </c>
      <c r="C13" s="63">
        <v>42728</v>
      </c>
      <c r="D13" s="63">
        <v>42725</v>
      </c>
      <c r="E13" s="62" t="s">
        <v>4559</v>
      </c>
      <c r="F13" s="64" t="s">
        <v>4560</v>
      </c>
      <c r="G13" s="62" t="s">
        <v>4536</v>
      </c>
      <c r="H13" s="62" t="s">
        <v>4535</v>
      </c>
      <c r="I13" s="62" t="s">
        <v>571</v>
      </c>
      <c r="J13" s="147">
        <v>2</v>
      </c>
      <c r="K13" s="62" t="s">
        <v>4533</v>
      </c>
      <c r="L13" s="65" t="s">
        <v>4561</v>
      </c>
      <c r="M13" s="62" t="s">
        <v>4534</v>
      </c>
      <c r="N13" s="62">
        <v>543</v>
      </c>
      <c r="O13" s="62">
        <v>1209</v>
      </c>
      <c r="P13" s="62">
        <v>631</v>
      </c>
      <c r="Q13" s="62">
        <v>0</v>
      </c>
      <c r="R13" s="62"/>
      <c r="S13" s="62"/>
      <c r="T13" s="148">
        <f t="shared" ref="T13:T17" si="0">SUM(N13:S13)</f>
        <v>2383</v>
      </c>
      <c r="U13" s="65"/>
      <c r="V13" s="65"/>
    </row>
    <row r="14" spans="1:22" x14ac:dyDescent="0.25">
      <c r="A14" s="62" t="s">
        <v>363</v>
      </c>
      <c r="B14" s="62" t="s">
        <v>4587</v>
      </c>
      <c r="C14" s="63">
        <v>42728</v>
      </c>
      <c r="D14" s="63">
        <v>42725</v>
      </c>
      <c r="E14" s="62" t="s">
        <v>4559</v>
      </c>
      <c r="F14" s="64" t="s">
        <v>4537</v>
      </c>
      <c r="G14" s="62" t="s">
        <v>4588</v>
      </c>
      <c r="H14" s="62" t="s">
        <v>4535</v>
      </c>
      <c r="I14" s="62" t="s">
        <v>571</v>
      </c>
      <c r="J14" s="147">
        <v>2</v>
      </c>
      <c r="K14" s="62" t="s">
        <v>4533</v>
      </c>
      <c r="L14" s="65" t="s">
        <v>4538</v>
      </c>
      <c r="M14" s="62" t="s">
        <v>4589</v>
      </c>
      <c r="N14" s="62">
        <v>14</v>
      </c>
      <c r="O14" s="62">
        <v>30</v>
      </c>
      <c r="P14" s="62">
        <v>9</v>
      </c>
      <c r="Q14" s="62">
        <v>1</v>
      </c>
      <c r="R14" s="62"/>
      <c r="S14" s="62"/>
      <c r="T14" s="148">
        <f t="shared" si="0"/>
        <v>54</v>
      </c>
      <c r="U14" s="65"/>
      <c r="V14" s="65"/>
    </row>
    <row r="15" spans="1:22" hidden="1" x14ac:dyDescent="0.25">
      <c r="A15" s="62" t="s">
        <v>363</v>
      </c>
      <c r="B15" s="62" t="s">
        <v>4587</v>
      </c>
      <c r="C15" s="63">
        <v>42728</v>
      </c>
      <c r="D15" s="63">
        <v>42725</v>
      </c>
      <c r="E15" s="62" t="s">
        <v>4559</v>
      </c>
      <c r="F15" s="64" t="s">
        <v>4560</v>
      </c>
      <c r="G15" s="62" t="s">
        <v>4588</v>
      </c>
      <c r="H15" s="62" t="s">
        <v>4535</v>
      </c>
      <c r="I15" s="62" t="s">
        <v>571</v>
      </c>
      <c r="J15" s="147">
        <v>2</v>
      </c>
      <c r="K15" s="62" t="s">
        <v>4533</v>
      </c>
      <c r="L15" s="65" t="s">
        <v>4561</v>
      </c>
      <c r="M15" s="62" t="s">
        <v>4589</v>
      </c>
      <c r="N15" s="62">
        <v>25</v>
      </c>
      <c r="O15" s="62">
        <v>49</v>
      </c>
      <c r="P15" s="62">
        <v>27</v>
      </c>
      <c r="Q15" s="62">
        <v>3</v>
      </c>
      <c r="R15" s="62"/>
      <c r="S15" s="62"/>
      <c r="T15" s="148">
        <f t="shared" si="0"/>
        <v>104</v>
      </c>
      <c r="U15" s="65"/>
      <c r="V15" s="65"/>
    </row>
    <row r="16" spans="1:22" x14ac:dyDescent="0.25">
      <c r="A16" s="62" t="s">
        <v>363</v>
      </c>
      <c r="B16" s="62" t="s">
        <v>4590</v>
      </c>
      <c r="C16" s="63">
        <v>42728</v>
      </c>
      <c r="D16" s="63">
        <v>42725</v>
      </c>
      <c r="E16" s="62" t="s">
        <v>4559</v>
      </c>
      <c r="F16" s="64" t="s">
        <v>4537</v>
      </c>
      <c r="G16" s="62" t="s">
        <v>4591</v>
      </c>
      <c r="H16" s="62" t="s">
        <v>4535</v>
      </c>
      <c r="I16" s="62" t="s">
        <v>571</v>
      </c>
      <c r="J16" s="147">
        <v>2.02</v>
      </c>
      <c r="K16" s="62" t="s">
        <v>4533</v>
      </c>
      <c r="L16" s="65" t="s">
        <v>4538</v>
      </c>
      <c r="M16" s="62" t="s">
        <v>4592</v>
      </c>
      <c r="N16" s="62">
        <v>244</v>
      </c>
      <c r="O16" s="62">
        <v>1062</v>
      </c>
      <c r="P16" s="62">
        <v>470</v>
      </c>
      <c r="Q16" s="62">
        <v>0</v>
      </c>
      <c r="R16" s="62"/>
      <c r="S16" s="62"/>
      <c r="T16" s="148">
        <f t="shared" si="0"/>
        <v>1776</v>
      </c>
      <c r="U16" s="65"/>
      <c r="V16" s="65"/>
    </row>
    <row r="17" spans="1:22" hidden="1" x14ac:dyDescent="0.25">
      <c r="A17" s="62" t="s">
        <v>363</v>
      </c>
      <c r="B17" s="62" t="s">
        <v>4590</v>
      </c>
      <c r="C17" s="63">
        <v>42728</v>
      </c>
      <c r="D17" s="63">
        <v>42725</v>
      </c>
      <c r="E17" s="62" t="s">
        <v>4559</v>
      </c>
      <c r="F17" s="64" t="s">
        <v>4560</v>
      </c>
      <c r="G17" s="62" t="s">
        <v>4591</v>
      </c>
      <c r="H17" s="62" t="s">
        <v>4535</v>
      </c>
      <c r="I17" s="62" t="s">
        <v>571</v>
      </c>
      <c r="J17" s="147">
        <v>2.02</v>
      </c>
      <c r="K17" s="62" t="s">
        <v>4533</v>
      </c>
      <c r="L17" s="65" t="s">
        <v>4561</v>
      </c>
      <c r="M17" s="62" t="s">
        <v>4592</v>
      </c>
      <c r="N17" s="62">
        <v>310</v>
      </c>
      <c r="O17" s="62">
        <v>1063</v>
      </c>
      <c r="P17" s="62">
        <v>404</v>
      </c>
      <c r="Q17" s="62"/>
      <c r="R17" s="62"/>
      <c r="S17" s="62"/>
      <c r="T17" s="148">
        <f t="shared" si="0"/>
        <v>1777</v>
      </c>
      <c r="U17" s="65"/>
      <c r="V17" s="65"/>
    </row>
    <row r="18" spans="1:22" x14ac:dyDescent="0.25">
      <c r="A18" s="62" t="s">
        <v>363</v>
      </c>
      <c r="B18" s="62" t="s">
        <v>4590</v>
      </c>
      <c r="C18" s="63">
        <v>42728</v>
      </c>
      <c r="D18" s="63">
        <v>42725</v>
      </c>
      <c r="E18" s="62" t="s">
        <v>4559</v>
      </c>
      <c r="F18" s="64" t="s">
        <v>4537</v>
      </c>
      <c r="G18" s="62" t="s">
        <v>4593</v>
      </c>
      <c r="H18" s="62" t="s">
        <v>4594</v>
      </c>
      <c r="I18" s="62" t="s">
        <v>571</v>
      </c>
      <c r="J18" s="147">
        <v>2.02</v>
      </c>
      <c r="K18" s="62" t="s">
        <v>4533</v>
      </c>
      <c r="L18" s="65" t="s">
        <v>4538</v>
      </c>
      <c r="M18" s="62" t="s">
        <v>4595</v>
      </c>
      <c r="N18" s="62">
        <v>6</v>
      </c>
      <c r="O18" s="62">
        <v>18</v>
      </c>
      <c r="P18" s="62">
        <v>1</v>
      </c>
      <c r="Q18" s="62">
        <v>0</v>
      </c>
      <c r="R18" s="62"/>
      <c r="S18" s="62"/>
      <c r="T18" s="148">
        <f>SUM(N18:S18)</f>
        <v>25</v>
      </c>
      <c r="U18" s="65"/>
      <c r="V18" s="65"/>
    </row>
    <row r="19" spans="1:22" hidden="1" x14ac:dyDescent="0.25">
      <c r="A19" s="62" t="s">
        <v>363</v>
      </c>
      <c r="B19" s="62" t="s">
        <v>4590</v>
      </c>
      <c r="C19" s="63">
        <v>42728</v>
      </c>
      <c r="D19" s="63">
        <v>42725</v>
      </c>
      <c r="E19" s="62" t="s">
        <v>4559</v>
      </c>
      <c r="F19" s="64" t="s">
        <v>4560</v>
      </c>
      <c r="G19" s="62" t="s">
        <v>4593</v>
      </c>
      <c r="H19" s="62" t="s">
        <v>4594</v>
      </c>
      <c r="I19" s="62" t="s">
        <v>571</v>
      </c>
      <c r="J19" s="147">
        <v>2.02</v>
      </c>
      <c r="K19" s="62" t="s">
        <v>4533</v>
      </c>
      <c r="L19" s="65" t="s">
        <v>4561</v>
      </c>
      <c r="M19" s="62" t="s">
        <v>4595</v>
      </c>
      <c r="N19" s="62">
        <v>0</v>
      </c>
      <c r="O19" s="62">
        <v>17</v>
      </c>
      <c r="P19" s="62">
        <v>6</v>
      </c>
      <c r="Q19" s="62"/>
      <c r="R19" s="62"/>
      <c r="S19" s="62"/>
      <c r="T19" s="148">
        <f>SUM(N19:S19)</f>
        <v>23</v>
      </c>
      <c r="U19" s="65"/>
      <c r="V19" s="65"/>
    </row>
    <row r="20" spans="1:22" x14ac:dyDescent="0.25">
      <c r="N20" s="46">
        <f>SUBTOTAL(9,N12:N19)</f>
        <v>745</v>
      </c>
      <c r="O20" s="46">
        <f t="shared" ref="O20:Q20" si="1">SUBTOTAL(9,O12:O19)</f>
        <v>2259</v>
      </c>
      <c r="P20" s="46">
        <f t="shared" si="1"/>
        <v>1061</v>
      </c>
      <c r="Q20" s="46">
        <f t="shared" si="1"/>
        <v>109</v>
      </c>
    </row>
    <row r="23" spans="1:22" x14ac:dyDescent="0.25">
      <c r="Q23" s="46">
        <v>745</v>
      </c>
      <c r="R23" s="46">
        <v>2259</v>
      </c>
      <c r="S23" s="46">
        <v>1061</v>
      </c>
      <c r="T23" s="46">
        <v>109</v>
      </c>
    </row>
  </sheetData>
  <sheetProtection formatCells="0" formatColumns="0" formatRows="0" sort="0" autoFilter="0"/>
  <autoFilter ref="A11:V19">
    <filterColumn colId="5">
      <filters>
        <filter val="BLACK -  001001"/>
      </filters>
    </filterColumn>
  </autoFilter>
  <pageMargins left="0.7" right="0.7" top="0.75" bottom="0.75" header="0.3" footer="0.3"/>
  <pageSetup paperSize="9" orientation="portrait" verticalDpi="100"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'Data Tables'!$BS$2:$BS$18</xm:f>
          </x14:formula1>
          <xm:sqref>I12:I13</xm:sqref>
        </x14:dataValidation>
        <x14:dataValidation type="list" allowBlank="1" showInputMessage="1" showErrorMessage="1">
          <x14:formula1>
            <xm:f>'Data Tables'!$BQ$2:$BQ$12</xm:f>
          </x14:formula1>
          <xm:sqref>A12:A13</xm:sqref>
        </x14:dataValidation>
        <x14:dataValidation type="list" allowBlank="1" showInputMessage="1" showErrorMessage="1">
          <x14:formula1>
            <xm:f>'[1]Data Tables'!#REF!</xm:f>
          </x14:formula1>
          <xm:sqref>A14:A19</xm:sqref>
        </x14:dataValidation>
        <x14:dataValidation type="list" allowBlank="1" showInputMessage="1" showErrorMessage="1">
          <x14:formula1>
            <xm:f>'[1]Data Tables'!#REF!</xm:f>
          </x14:formula1>
          <xm:sqref>I14:I19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XEW113"/>
  <sheetViews>
    <sheetView showGridLines="0" tabSelected="1" topLeftCell="E10" zoomScale="142" zoomScaleNormal="142" workbookViewId="0">
      <selection activeCell="I24" sqref="I24:I27"/>
    </sheetView>
  </sheetViews>
  <sheetFormatPr defaultRowHeight="11.25" x14ac:dyDescent="0.25"/>
  <cols>
    <col min="1" max="1" width="25.85546875" style="10" bestFit="1" customWidth="1"/>
    <col min="2" max="2" width="43.42578125" style="10" customWidth="1"/>
    <col min="3" max="3" width="38.42578125" style="10" bestFit="1" customWidth="1"/>
    <col min="4" max="4" width="45" style="30" customWidth="1"/>
    <col min="5" max="5" width="18" style="30" bestFit="1" customWidth="1"/>
    <col min="6" max="6" width="13.28515625" style="10" bestFit="1" customWidth="1"/>
    <col min="7" max="7" width="18.42578125" style="10" customWidth="1"/>
    <col min="8" max="8" width="12.5703125" style="10" bestFit="1" customWidth="1"/>
    <col min="9" max="10" width="12.5703125" style="10" customWidth="1"/>
    <col min="11" max="11" width="9" style="10" bestFit="1" customWidth="1"/>
    <col min="12" max="12" width="21.42578125" style="10" bestFit="1" customWidth="1"/>
    <col min="13" max="13" width="8.28515625" style="10" bestFit="1" customWidth="1"/>
    <col min="14" max="14" width="18.28515625" style="31" customWidth="1"/>
    <col min="15" max="15" width="11" style="32" bestFit="1" customWidth="1"/>
    <col min="16" max="16" width="28.140625" style="32" customWidth="1"/>
    <col min="17" max="17" width="9.42578125" style="10" bestFit="1" customWidth="1"/>
    <col min="18" max="18" width="13.7109375" style="10" bestFit="1" customWidth="1"/>
    <col min="19" max="19" width="11.7109375" style="10" bestFit="1" customWidth="1"/>
    <col min="20" max="20" width="19.140625" style="33" bestFit="1" customWidth="1"/>
    <col min="21" max="21" width="12.28515625" style="10" bestFit="1" customWidth="1"/>
    <col min="22" max="22" width="19.140625" style="33" bestFit="1" customWidth="1"/>
    <col min="23" max="23" width="18" style="33" bestFit="1" customWidth="1"/>
    <col min="24" max="24" width="6.5703125" style="10" bestFit="1" customWidth="1"/>
    <col min="25" max="25" width="9.7109375" style="10" bestFit="1" customWidth="1"/>
    <col min="26" max="26" width="18.85546875" style="10" bestFit="1" customWidth="1"/>
    <col min="27" max="27" width="10.85546875" style="32" bestFit="1" customWidth="1"/>
    <col min="28" max="28" width="43.28515625" style="10" customWidth="1"/>
    <col min="29" max="29" width="14.85546875" style="10" bestFit="1" customWidth="1"/>
    <col min="30" max="31" width="22.7109375" style="10" customWidth="1"/>
    <col min="32" max="32" width="30.7109375" style="10" customWidth="1"/>
    <col min="33" max="149" width="9.140625" style="10"/>
    <col min="150" max="150" width="38.42578125" style="10" bestFit="1" customWidth="1"/>
    <col min="151" max="16252" width="9.140625" style="10"/>
    <col min="16253" max="16253" width="24" style="10" bestFit="1" customWidth="1"/>
    <col min="16254" max="16254" width="24.28515625" style="10" bestFit="1" customWidth="1"/>
    <col min="16255" max="16255" width="26.7109375" style="10" bestFit="1" customWidth="1"/>
    <col min="16256" max="16256" width="25.28515625" style="10" bestFit="1" customWidth="1"/>
    <col min="16257" max="16257" width="23" style="10" bestFit="1" customWidth="1"/>
    <col min="16258" max="16258" width="23.85546875" style="10" bestFit="1" customWidth="1"/>
    <col min="16259" max="16259" width="23.28515625" style="10" bestFit="1" customWidth="1"/>
    <col min="16260" max="16260" width="21.5703125" style="10" bestFit="1" customWidth="1"/>
    <col min="16261" max="16261" width="22.7109375" style="10" bestFit="1" customWidth="1"/>
    <col min="16262" max="16262" width="22.85546875" style="10" bestFit="1" customWidth="1"/>
    <col min="16263" max="16263" width="21.42578125" style="10" bestFit="1" customWidth="1"/>
    <col min="16264" max="16264" width="20.5703125" style="10" bestFit="1" customWidth="1"/>
    <col min="16265" max="16265" width="22.42578125" style="10" bestFit="1" customWidth="1"/>
    <col min="16266" max="16266" width="23.42578125" style="10" bestFit="1" customWidth="1"/>
    <col min="16267" max="16267" width="19.85546875" style="10" bestFit="1" customWidth="1"/>
    <col min="16268" max="16268" width="20.7109375" style="10" bestFit="1" customWidth="1"/>
    <col min="16269" max="16269" width="24.5703125" style="10" bestFit="1" customWidth="1"/>
    <col min="16270" max="16270" width="22.85546875" style="10" bestFit="1" customWidth="1"/>
    <col min="16271" max="16271" width="22.28515625" style="10" bestFit="1" customWidth="1"/>
    <col min="16272" max="16272" width="23.7109375" style="10" bestFit="1" customWidth="1"/>
    <col min="16273" max="16273" width="28.42578125" style="10" bestFit="1" customWidth="1"/>
    <col min="16274" max="16274" width="26.140625" style="10" bestFit="1" customWidth="1"/>
    <col min="16275" max="16275" width="21.140625" style="10" bestFit="1" customWidth="1"/>
    <col min="16276" max="16276" width="26" style="10" bestFit="1" customWidth="1"/>
    <col min="16277" max="16277" width="22.7109375" style="10" bestFit="1" customWidth="1"/>
    <col min="16278" max="16278" width="21.7109375" style="10" bestFit="1" customWidth="1"/>
    <col min="16279" max="16279" width="23.7109375" style="10" bestFit="1" customWidth="1"/>
    <col min="16280" max="16280" width="19.42578125" style="10" bestFit="1" customWidth="1"/>
    <col min="16281" max="16281" width="24.28515625" style="10" bestFit="1" customWidth="1"/>
    <col min="16282" max="16282" width="28.140625" style="10" bestFit="1" customWidth="1"/>
    <col min="16283" max="16283" width="30" style="10" bestFit="1" customWidth="1"/>
    <col min="16284" max="16284" width="19.5703125" style="10" bestFit="1" customWidth="1"/>
    <col min="16285" max="16285" width="23.85546875" style="10" bestFit="1" customWidth="1"/>
    <col min="16286" max="16286" width="25.28515625" style="10" bestFit="1" customWidth="1"/>
    <col min="16287" max="16287" width="18.7109375" style="10" bestFit="1" customWidth="1"/>
    <col min="16288" max="16288" width="22.28515625" style="10" bestFit="1" customWidth="1"/>
    <col min="16289" max="16289" width="22.42578125" style="10" bestFit="1" customWidth="1"/>
    <col min="16290" max="16290" width="21.42578125" style="10" bestFit="1" customWidth="1"/>
    <col min="16291" max="16291" width="19.7109375" style="10" bestFit="1" customWidth="1"/>
    <col min="16292" max="16292" width="24.85546875" style="10" bestFit="1" customWidth="1"/>
    <col min="16293" max="16293" width="21.7109375" style="10" bestFit="1" customWidth="1"/>
    <col min="16294" max="16295" width="17" style="10" bestFit="1" customWidth="1"/>
    <col min="16296" max="16296" width="10.140625" style="10" bestFit="1" customWidth="1"/>
    <col min="16297" max="16298" width="15.7109375" style="10" bestFit="1" customWidth="1"/>
    <col min="16299" max="16299" width="6.42578125" style="10" bestFit="1" customWidth="1"/>
    <col min="16300" max="16300" width="8.42578125" style="10" bestFit="1" customWidth="1"/>
    <col min="16301" max="16301" width="7" style="10" bestFit="1" customWidth="1"/>
    <col min="16302" max="16302" width="13.42578125" style="10" bestFit="1" customWidth="1"/>
    <col min="16303" max="16303" width="25.85546875" style="10" bestFit="1" customWidth="1"/>
    <col min="16304" max="16304" width="21" style="10" bestFit="1" customWidth="1"/>
    <col min="16305" max="16305" width="18" style="10" bestFit="1" customWidth="1"/>
    <col min="16306" max="16306" width="21.42578125" style="10" bestFit="1" customWidth="1"/>
    <col min="16307" max="16308" width="16.7109375" style="10" bestFit="1" customWidth="1"/>
    <col min="16309" max="16348" width="9.140625" style="10" hidden="1" customWidth="1"/>
    <col min="16349" max="16349" width="30" style="10" bestFit="1" customWidth="1"/>
    <col min="16350" max="16352" width="9.140625" style="10" hidden="1" customWidth="1"/>
    <col min="16353" max="16353" width="14" style="10" bestFit="1" customWidth="1"/>
    <col min="16354" max="16354" width="26.7109375" style="10" bestFit="1" customWidth="1"/>
    <col min="16355" max="16355" width="9.140625" style="10" hidden="1" customWidth="1"/>
    <col min="16356" max="16356" width="28.42578125" style="10" bestFit="1" customWidth="1"/>
    <col min="16357" max="16373" width="9.140625" style="10" hidden="1" customWidth="1"/>
    <col min="16374" max="16374" width="22.28515625" style="10" hidden="1" customWidth="1"/>
    <col min="16375" max="16377" width="15.140625" style="10" hidden="1" customWidth="1"/>
    <col min="16378" max="16384" width="9.140625" style="10" hidden="1" customWidth="1"/>
  </cols>
  <sheetData>
    <row r="1" spans="1:32 16293:16375" ht="22.5" customHeight="1" x14ac:dyDescent="0.2">
      <c r="A1" s="1" t="s">
        <v>0</v>
      </c>
      <c r="B1" s="162" t="s">
        <v>4565</v>
      </c>
      <c r="C1" s="3"/>
      <c r="D1" s="3"/>
      <c r="E1" s="3"/>
      <c r="F1" s="4"/>
      <c r="G1" s="5"/>
      <c r="H1" s="5"/>
      <c r="I1" s="5"/>
      <c r="J1" s="5"/>
      <c r="K1" s="5"/>
      <c r="L1" s="5"/>
      <c r="M1" s="6"/>
      <c r="N1" s="7"/>
      <c r="O1" s="5"/>
      <c r="P1" s="5"/>
      <c r="Q1" s="5"/>
      <c r="R1" s="5"/>
      <c r="S1" s="8"/>
      <c r="T1" s="8"/>
      <c r="U1" s="9"/>
      <c r="V1" s="8"/>
      <c r="W1" s="5"/>
      <c r="X1" s="5"/>
      <c r="Y1" s="7"/>
      <c r="Z1" s="7"/>
      <c r="AA1" s="5"/>
      <c r="AB1" s="5"/>
      <c r="AC1" s="5"/>
      <c r="AD1" s="5"/>
      <c r="AE1" s="5"/>
      <c r="XDU1" s="11"/>
      <c r="XET1" s="11"/>
      <c r="XEU1" s="11"/>
    </row>
    <row r="2" spans="1:32 16293:16375" ht="15.95" customHeight="1" x14ac:dyDescent="0.2">
      <c r="A2" s="12" t="s">
        <v>1</v>
      </c>
      <c r="B2" s="2" t="s">
        <v>179</v>
      </c>
      <c r="C2" s="3"/>
      <c r="D2" s="3"/>
      <c r="E2" s="3"/>
      <c r="F2" s="4"/>
      <c r="G2" s="5"/>
      <c r="H2" s="5"/>
      <c r="I2" s="5"/>
      <c r="J2" s="5"/>
      <c r="K2" s="5"/>
      <c r="L2" s="5"/>
      <c r="M2" s="6"/>
      <c r="N2" s="7"/>
      <c r="O2" s="5"/>
      <c r="P2" s="5"/>
      <c r="Q2" s="5"/>
      <c r="R2" s="5"/>
      <c r="S2" s="8"/>
      <c r="T2" s="8"/>
      <c r="U2" s="9"/>
      <c r="V2" s="8"/>
      <c r="W2" s="5"/>
      <c r="X2" s="5"/>
      <c r="Y2" s="7"/>
      <c r="Z2" s="7"/>
      <c r="AA2" s="5"/>
      <c r="AB2" s="5"/>
      <c r="AC2" s="5"/>
      <c r="AD2" s="5"/>
      <c r="AE2" s="5"/>
      <c r="XDU2" s="11"/>
      <c r="XET2" s="11"/>
      <c r="XEU2" s="11"/>
    </row>
    <row r="3" spans="1:32 16293:16375" ht="15.95" customHeight="1" x14ac:dyDescent="0.2">
      <c r="A3" s="12" t="s">
        <v>2</v>
      </c>
      <c r="B3" s="2" t="s">
        <v>4556</v>
      </c>
      <c r="C3" s="3"/>
      <c r="D3" s="3"/>
      <c r="E3" s="3"/>
      <c r="F3" s="4"/>
      <c r="G3" s="5"/>
      <c r="H3" s="5"/>
      <c r="I3" s="5"/>
      <c r="J3" s="5"/>
      <c r="K3" s="5"/>
      <c r="L3" s="5"/>
      <c r="M3" s="6"/>
      <c r="N3" s="7"/>
      <c r="O3" s="5"/>
      <c r="P3" s="5"/>
      <c r="Q3" s="5"/>
      <c r="R3" s="5"/>
      <c r="S3" s="8"/>
      <c r="T3" s="8"/>
      <c r="U3" s="9"/>
      <c r="V3" s="8"/>
      <c r="W3" s="5"/>
      <c r="X3" s="5"/>
      <c r="Y3" s="7"/>
      <c r="Z3" s="7"/>
      <c r="AA3" s="5"/>
      <c r="AB3" s="5"/>
      <c r="AC3" s="5"/>
      <c r="AD3" s="5"/>
      <c r="AE3" s="5"/>
      <c r="XDU3" s="11"/>
      <c r="XET3" s="11"/>
      <c r="XEU3" s="11"/>
    </row>
    <row r="4" spans="1:32 16293:16375" ht="15.95" customHeight="1" x14ac:dyDescent="0.2">
      <c r="A4" s="12" t="s">
        <v>3</v>
      </c>
      <c r="B4" s="2" t="s">
        <v>4</v>
      </c>
      <c r="C4" s="3"/>
      <c r="D4" s="3"/>
      <c r="E4" s="3"/>
      <c r="F4" s="4"/>
      <c r="G4" s="5"/>
      <c r="H4" s="5"/>
      <c r="I4" s="5"/>
      <c r="J4" s="5"/>
      <c r="K4" s="5"/>
      <c r="L4" s="5"/>
      <c r="M4" s="6"/>
      <c r="N4" s="7"/>
      <c r="O4" s="5"/>
      <c r="P4" s="5"/>
      <c r="Q4" s="5"/>
      <c r="R4" s="5"/>
      <c r="S4" s="8"/>
      <c r="T4" s="8"/>
      <c r="U4" s="9"/>
      <c r="V4" s="8"/>
      <c r="W4" s="5"/>
      <c r="X4" s="5"/>
      <c r="Y4" s="7"/>
      <c r="Z4" s="7"/>
      <c r="AA4" s="5"/>
      <c r="AB4" s="5"/>
      <c r="AC4" s="5"/>
      <c r="AD4" s="5"/>
      <c r="AE4" s="5"/>
    </row>
    <row r="5" spans="1:32 16293:16375" ht="15.95" customHeight="1" x14ac:dyDescent="0.2">
      <c r="A5" s="12" t="s">
        <v>5</v>
      </c>
      <c r="B5" s="2" t="s">
        <v>4529</v>
      </c>
      <c r="C5" s="3"/>
      <c r="D5" s="3"/>
      <c r="E5" s="3"/>
      <c r="F5" s="4"/>
      <c r="G5" s="5"/>
      <c r="H5" s="5"/>
      <c r="I5" s="5"/>
      <c r="J5" s="5"/>
      <c r="K5" s="5"/>
      <c r="L5" s="5"/>
      <c r="M5" s="6"/>
      <c r="N5" s="7"/>
      <c r="O5" s="5"/>
      <c r="P5" s="5"/>
      <c r="Q5" s="5"/>
      <c r="R5" s="5"/>
      <c r="S5" s="8"/>
      <c r="T5" s="8"/>
      <c r="U5" s="9"/>
      <c r="V5" s="8"/>
      <c r="W5" s="5"/>
      <c r="X5" s="5"/>
      <c r="Y5" s="7"/>
      <c r="Z5" s="7"/>
      <c r="AA5" s="5"/>
      <c r="AB5" s="5"/>
      <c r="AC5" s="5"/>
      <c r="AD5" s="5"/>
      <c r="AE5" s="5"/>
      <c r="XDU5" s="11"/>
      <c r="XES5" s="11"/>
      <c r="XET5" s="11"/>
    </row>
    <row r="6" spans="1:32 16293:16375" ht="15.95" customHeight="1" x14ac:dyDescent="0.2">
      <c r="A6" s="12" t="s">
        <v>6</v>
      </c>
      <c r="B6" s="2" t="s">
        <v>472</v>
      </c>
      <c r="C6" s="3"/>
      <c r="D6" s="3"/>
      <c r="E6" s="3"/>
      <c r="F6" s="4"/>
      <c r="G6" s="5"/>
      <c r="H6" s="5"/>
      <c r="I6" s="5"/>
      <c r="J6" s="5"/>
      <c r="K6" s="5"/>
      <c r="L6" s="5"/>
      <c r="M6" s="6"/>
      <c r="N6" s="7"/>
      <c r="O6" s="5"/>
      <c r="P6" s="5"/>
      <c r="Q6" s="5"/>
      <c r="R6" s="5"/>
      <c r="S6" s="8"/>
      <c r="T6" s="8"/>
      <c r="U6" s="9"/>
      <c r="V6" s="8"/>
      <c r="W6" s="5"/>
      <c r="X6" s="5"/>
      <c r="Y6" s="7"/>
      <c r="Z6" s="7"/>
      <c r="AA6" s="5"/>
      <c r="AB6" s="5"/>
      <c r="AC6" s="5"/>
      <c r="AD6" s="5"/>
      <c r="AE6" s="5"/>
      <c r="XDU6" s="11"/>
      <c r="XES6" s="11"/>
      <c r="XET6" s="11"/>
    </row>
    <row r="7" spans="1:32 16293:16375" ht="15.95" customHeight="1" x14ac:dyDescent="0.2">
      <c r="A7" s="12" t="s">
        <v>7</v>
      </c>
      <c r="B7" s="13" t="s">
        <v>302</v>
      </c>
      <c r="C7" s="3"/>
      <c r="D7" s="3"/>
      <c r="E7" s="3"/>
      <c r="F7" s="4"/>
      <c r="G7" s="5"/>
      <c r="H7" s="5"/>
      <c r="I7" s="5"/>
      <c r="J7" s="5"/>
      <c r="K7" s="5"/>
      <c r="L7" s="5"/>
      <c r="M7" s="6"/>
      <c r="N7" s="7"/>
      <c r="O7" s="5"/>
      <c r="P7" s="5"/>
      <c r="Q7" s="5"/>
      <c r="R7" s="5"/>
      <c r="S7" s="8"/>
      <c r="T7" s="8"/>
      <c r="U7" s="9"/>
      <c r="V7" s="8"/>
      <c r="W7" s="5"/>
      <c r="X7" s="5"/>
      <c r="Y7" s="7"/>
      <c r="Z7" s="7"/>
      <c r="AA7" s="5"/>
      <c r="AB7" s="5"/>
      <c r="AC7" s="5"/>
      <c r="AD7" s="5"/>
      <c r="AE7" s="5"/>
      <c r="XDU7" s="11"/>
      <c r="XES7" s="11"/>
      <c r="XET7" s="11"/>
    </row>
    <row r="8" spans="1:32 16293:16375" ht="15.95" customHeight="1" x14ac:dyDescent="0.2">
      <c r="A8" s="12" t="s">
        <v>8</v>
      </c>
      <c r="B8" s="2" t="s">
        <v>4532</v>
      </c>
      <c r="C8" s="3"/>
      <c r="D8" s="3"/>
      <c r="E8" s="3"/>
      <c r="F8" s="4"/>
      <c r="G8" s="5"/>
      <c r="H8" s="5"/>
      <c r="I8" s="5"/>
      <c r="J8" s="5"/>
      <c r="K8" s="5"/>
      <c r="L8" s="5"/>
      <c r="M8" s="6"/>
      <c r="N8" s="7"/>
      <c r="O8" s="5"/>
      <c r="P8" s="5"/>
      <c r="Q8" s="5"/>
      <c r="R8" s="5"/>
      <c r="S8" s="8"/>
      <c r="T8" s="8"/>
      <c r="U8" s="9"/>
      <c r="V8" s="8"/>
      <c r="W8" s="5"/>
      <c r="X8" s="5"/>
      <c r="Y8" s="7"/>
      <c r="Z8" s="7"/>
      <c r="AA8" s="5"/>
      <c r="AB8" s="5"/>
      <c r="AC8" s="5"/>
      <c r="AD8" s="5"/>
      <c r="AE8" s="5"/>
      <c r="XDU8" s="11"/>
      <c r="XES8" s="11"/>
      <c r="XET8" s="11"/>
    </row>
    <row r="9" spans="1:32 16293:16375" ht="15.95" customHeight="1" x14ac:dyDescent="0.2">
      <c r="A9" s="12" t="s">
        <v>9</v>
      </c>
      <c r="B9" s="2" t="s">
        <v>4530</v>
      </c>
      <c r="C9" s="3"/>
      <c r="D9" s="3"/>
      <c r="E9" s="3"/>
      <c r="F9" s="4"/>
      <c r="G9" s="5"/>
      <c r="H9" s="5"/>
      <c r="I9" s="5"/>
      <c r="J9" s="5"/>
      <c r="K9" s="5"/>
      <c r="L9" s="5"/>
      <c r="M9" s="6"/>
      <c r="N9" s="7"/>
      <c r="O9" s="5"/>
      <c r="P9" s="5"/>
      <c r="Q9" s="5"/>
      <c r="R9" s="5"/>
      <c r="S9" s="8"/>
      <c r="T9" s="8"/>
      <c r="U9" s="9"/>
      <c r="V9" s="8"/>
      <c r="W9" s="5"/>
      <c r="X9" s="5"/>
      <c r="Y9" s="7"/>
      <c r="Z9" s="7"/>
      <c r="AA9" s="5"/>
      <c r="AB9" s="5"/>
      <c r="AC9" s="5"/>
      <c r="AD9" s="5"/>
      <c r="AE9" s="5"/>
      <c r="XDU9" s="11"/>
      <c r="XES9" s="11"/>
      <c r="XET9" s="11"/>
    </row>
    <row r="10" spans="1:32 16293:16375" ht="15.95" customHeight="1" x14ac:dyDescent="0.2">
      <c r="A10" s="12" t="s">
        <v>10</v>
      </c>
      <c r="B10" s="2" t="s">
        <v>4531</v>
      </c>
      <c r="C10" s="3"/>
      <c r="D10" s="3"/>
      <c r="E10" s="3"/>
      <c r="F10" s="4"/>
      <c r="G10" s="5"/>
      <c r="H10" s="5"/>
      <c r="I10" s="5"/>
      <c r="J10" s="5"/>
      <c r="K10" s="5"/>
      <c r="L10" s="5"/>
      <c r="M10" s="6"/>
      <c r="N10" s="7"/>
      <c r="O10" s="5"/>
      <c r="P10" s="5"/>
      <c r="Q10" s="5"/>
      <c r="R10" s="5"/>
      <c r="S10" s="8"/>
      <c r="T10" s="8"/>
      <c r="U10" s="9"/>
      <c r="V10" s="8"/>
      <c r="W10" s="5"/>
      <c r="X10" s="5"/>
      <c r="Y10" s="7"/>
      <c r="Z10" s="7"/>
      <c r="AA10" s="5"/>
      <c r="AB10" s="5"/>
      <c r="AC10" s="5"/>
      <c r="AD10" s="5"/>
      <c r="AE10" s="5"/>
      <c r="XDU10" s="11"/>
      <c r="XES10" s="11"/>
      <c r="XET10" s="11"/>
    </row>
    <row r="11" spans="1:32 16293:16375" ht="15.95" customHeight="1" x14ac:dyDescent="0.2">
      <c r="A11" s="14" t="s">
        <v>11</v>
      </c>
      <c r="B11" s="2" t="s">
        <v>4199</v>
      </c>
      <c r="C11" s="15"/>
      <c r="D11" s="15"/>
      <c r="E11" s="15"/>
      <c r="F11" s="4"/>
      <c r="G11" s="5"/>
      <c r="H11" s="5"/>
      <c r="I11" s="5"/>
      <c r="J11" s="5"/>
      <c r="K11" s="5"/>
      <c r="L11" s="5"/>
      <c r="M11" s="6"/>
      <c r="N11" s="7"/>
      <c r="O11" s="5"/>
      <c r="P11" s="5"/>
      <c r="Q11" s="5"/>
      <c r="R11" s="5"/>
      <c r="S11" s="8"/>
      <c r="T11" s="8"/>
      <c r="U11" s="9"/>
      <c r="V11" s="8"/>
      <c r="W11" s="5"/>
      <c r="X11" s="5"/>
      <c r="Y11" s="7"/>
      <c r="Z11" s="7"/>
      <c r="AA11" s="5"/>
      <c r="AB11" s="5"/>
      <c r="AC11" s="5"/>
      <c r="AD11" s="5"/>
      <c r="AE11" s="5"/>
      <c r="XDU11" s="11"/>
      <c r="XES11" s="16"/>
      <c r="XET11" s="11"/>
    </row>
    <row r="12" spans="1:32 16293:16375" ht="15" customHeight="1" x14ac:dyDescent="0.2">
      <c r="C12" s="17"/>
      <c r="D12" s="15"/>
      <c r="E12" s="15"/>
      <c r="G12" s="5"/>
      <c r="H12" s="5"/>
      <c r="I12" s="5"/>
      <c r="J12" s="5"/>
      <c r="K12" s="5"/>
      <c r="L12" s="5"/>
      <c r="M12" s="5"/>
      <c r="N12" s="6"/>
      <c r="O12" s="7"/>
      <c r="P12" s="7"/>
      <c r="Q12" s="5"/>
      <c r="R12" s="5"/>
      <c r="S12" s="5"/>
      <c r="T12" s="8"/>
      <c r="U12" s="5"/>
      <c r="V12" s="8"/>
      <c r="W12" s="8"/>
      <c r="X12" s="5"/>
      <c r="Y12" s="5"/>
      <c r="Z12" s="5"/>
      <c r="AA12" s="7"/>
      <c r="AB12" s="5"/>
      <c r="AC12" s="5"/>
      <c r="AD12" s="5"/>
      <c r="AE12" s="5"/>
      <c r="AF12" s="9"/>
      <c r="XDV12" s="11"/>
      <c r="XET12" s="11"/>
      <c r="XEU12" s="11"/>
    </row>
    <row r="13" spans="1:32 16293:16375" s="26" customFormat="1" ht="33.75" x14ac:dyDescent="0.2">
      <c r="A13" s="159" t="s">
        <v>12</v>
      </c>
      <c r="B13" s="18" t="s">
        <v>13</v>
      </c>
      <c r="C13" s="18" t="s">
        <v>14</v>
      </c>
      <c r="D13" s="18" t="s">
        <v>15</v>
      </c>
      <c r="E13" s="18" t="s">
        <v>16</v>
      </c>
      <c r="F13" s="19" t="s">
        <v>17</v>
      </c>
      <c r="G13" s="20" t="s">
        <v>18</v>
      </c>
      <c r="H13" s="20" t="s">
        <v>19</v>
      </c>
      <c r="I13" s="20" t="s">
        <v>4632</v>
      </c>
      <c r="J13" s="20" t="s">
        <v>4633</v>
      </c>
      <c r="K13" s="21" t="s">
        <v>20</v>
      </c>
      <c r="L13" s="21" t="s">
        <v>21</v>
      </c>
      <c r="M13" s="21" t="s">
        <v>22</v>
      </c>
      <c r="N13" s="22" t="s">
        <v>23</v>
      </c>
      <c r="O13" s="23" t="s">
        <v>24</v>
      </c>
      <c r="P13" s="23" t="s">
        <v>4518</v>
      </c>
      <c r="Q13" s="18" t="s">
        <v>25</v>
      </c>
      <c r="R13" s="18" t="s">
        <v>26</v>
      </c>
      <c r="S13" s="18" t="s">
        <v>27</v>
      </c>
      <c r="T13" s="24" t="s">
        <v>4022</v>
      </c>
      <c r="U13" s="18" t="s">
        <v>28</v>
      </c>
      <c r="V13" s="24" t="s">
        <v>29</v>
      </c>
      <c r="W13" s="24" t="s">
        <v>30</v>
      </c>
      <c r="X13" s="18" t="s">
        <v>31</v>
      </c>
      <c r="Y13" s="18" t="s">
        <v>32</v>
      </c>
      <c r="Z13" s="18" t="s">
        <v>33</v>
      </c>
      <c r="AA13" s="23" t="s">
        <v>34</v>
      </c>
      <c r="AB13" s="18" t="s">
        <v>35</v>
      </c>
      <c r="AC13" s="18" t="s">
        <v>36</v>
      </c>
      <c r="AD13" s="18" t="s">
        <v>37</v>
      </c>
      <c r="AE13" s="18" t="s">
        <v>38</v>
      </c>
      <c r="AF13" s="25" t="s">
        <v>39</v>
      </c>
      <c r="XDV13" s="16"/>
    </row>
    <row r="14" spans="1:32 16293:16375" hidden="1" x14ac:dyDescent="0.2">
      <c r="A14" s="125" t="s">
        <v>185</v>
      </c>
      <c r="B14" s="125" t="s">
        <v>940</v>
      </c>
      <c r="C14" s="125" t="s">
        <v>4539</v>
      </c>
      <c r="D14" s="125" t="s">
        <v>4540</v>
      </c>
      <c r="E14" s="125" t="s">
        <v>218</v>
      </c>
      <c r="F14" s="125" t="s">
        <v>4550</v>
      </c>
      <c r="G14" s="64" t="s">
        <v>4537</v>
      </c>
      <c r="H14" s="125" t="s">
        <v>67</v>
      </c>
      <c r="I14" s="125"/>
      <c r="J14" s="125"/>
      <c r="K14" s="125"/>
      <c r="L14" s="125" t="s">
        <v>278</v>
      </c>
      <c r="M14" s="125"/>
      <c r="N14" s="125">
        <v>9.06E-2</v>
      </c>
      <c r="O14" s="126">
        <v>0.03</v>
      </c>
      <c r="P14" s="126" t="s">
        <v>4520</v>
      </c>
      <c r="Q14" s="125" t="s">
        <v>684</v>
      </c>
      <c r="R14" s="125" t="s">
        <v>684</v>
      </c>
      <c r="S14" s="125"/>
      <c r="T14" s="127">
        <v>2.35</v>
      </c>
      <c r="U14" s="125" t="s">
        <v>4541</v>
      </c>
      <c r="V14" s="127"/>
      <c r="W14" s="127"/>
      <c r="X14" s="125"/>
      <c r="Y14" s="125"/>
      <c r="Z14" s="125"/>
      <c r="AA14" s="126">
        <v>0.15</v>
      </c>
      <c r="AB14" s="125" t="s">
        <v>1146</v>
      </c>
      <c r="AC14" s="125" t="s">
        <v>4542</v>
      </c>
      <c r="AD14" s="125" t="s">
        <v>497</v>
      </c>
      <c r="AE14" s="125" t="s">
        <v>624</v>
      </c>
      <c r="AF14" s="129" t="s">
        <v>4543</v>
      </c>
      <c r="XBQ14" s="130"/>
      <c r="XCE14" s="16"/>
      <c r="XCF14" s="130"/>
      <c r="XCG14" s="29"/>
      <c r="XCH14" s="130"/>
      <c r="XCK14" s="130"/>
      <c r="XCL14" s="130"/>
      <c r="XCM14" s="130"/>
      <c r="XDV14" s="16"/>
    </row>
    <row r="15" spans="1:32 16293:16375" hidden="1" x14ac:dyDescent="0.2">
      <c r="A15" s="125" t="s">
        <v>185</v>
      </c>
      <c r="B15" s="125" t="s">
        <v>940</v>
      </c>
      <c r="C15" s="125" t="s">
        <v>4539</v>
      </c>
      <c r="D15" s="125" t="s">
        <v>4540</v>
      </c>
      <c r="E15" s="125" t="s">
        <v>218</v>
      </c>
      <c r="F15" s="125" t="s">
        <v>4550</v>
      </c>
      <c r="G15" s="64" t="s">
        <v>4537</v>
      </c>
      <c r="H15" s="125" t="s">
        <v>68</v>
      </c>
      <c r="I15" s="125"/>
      <c r="J15" s="125"/>
      <c r="K15" s="125"/>
      <c r="L15" s="125" t="s">
        <v>278</v>
      </c>
      <c r="M15" s="125"/>
      <c r="N15" s="125">
        <v>0.1024</v>
      </c>
      <c r="O15" s="126">
        <v>0.03</v>
      </c>
      <c r="P15" s="126" t="s">
        <v>4520</v>
      </c>
      <c r="Q15" s="125" t="s">
        <v>684</v>
      </c>
      <c r="R15" s="125" t="s">
        <v>684</v>
      </c>
      <c r="S15" s="125"/>
      <c r="T15" s="127">
        <v>2.35</v>
      </c>
      <c r="U15" s="125" t="s">
        <v>4541</v>
      </c>
      <c r="V15" s="127"/>
      <c r="W15" s="127"/>
      <c r="X15" s="125"/>
      <c r="Y15" s="125"/>
      <c r="Z15" s="125"/>
      <c r="AA15" s="126">
        <v>0.15</v>
      </c>
      <c r="AB15" s="125" t="s">
        <v>1146</v>
      </c>
      <c r="AC15" s="125" t="s">
        <v>4542</v>
      </c>
      <c r="AD15" s="125" t="s">
        <v>497</v>
      </c>
      <c r="AE15" s="125" t="s">
        <v>624</v>
      </c>
      <c r="AF15" s="129" t="s">
        <v>4543</v>
      </c>
      <c r="XDV15" s="16"/>
    </row>
    <row r="16" spans="1:32 16293:16375" hidden="1" x14ac:dyDescent="0.2">
      <c r="A16" s="125" t="s">
        <v>185</v>
      </c>
      <c r="B16" s="125" t="s">
        <v>940</v>
      </c>
      <c r="C16" s="125" t="s">
        <v>4539</v>
      </c>
      <c r="D16" s="125" t="s">
        <v>4540</v>
      </c>
      <c r="E16" s="125" t="s">
        <v>218</v>
      </c>
      <c r="F16" s="125" t="s">
        <v>4550</v>
      </c>
      <c r="G16" s="64" t="s">
        <v>4537</v>
      </c>
      <c r="H16" s="125" t="s">
        <v>69</v>
      </c>
      <c r="I16" s="125"/>
      <c r="J16" s="125"/>
      <c r="K16" s="125"/>
      <c r="L16" s="125" t="s">
        <v>278</v>
      </c>
      <c r="M16" s="125"/>
      <c r="N16" s="125">
        <v>0.11310000000000001</v>
      </c>
      <c r="O16" s="126">
        <v>0.03</v>
      </c>
      <c r="P16" s="126" t="s">
        <v>4520</v>
      </c>
      <c r="Q16" s="125" t="s">
        <v>684</v>
      </c>
      <c r="R16" s="125" t="s">
        <v>684</v>
      </c>
      <c r="S16" s="125"/>
      <c r="T16" s="127">
        <v>2.35</v>
      </c>
      <c r="U16" s="125" t="s">
        <v>4541</v>
      </c>
      <c r="V16" s="127"/>
      <c r="W16" s="127"/>
      <c r="X16" s="125"/>
      <c r="Y16" s="125"/>
      <c r="Z16" s="125"/>
      <c r="AA16" s="126">
        <v>0.15</v>
      </c>
      <c r="AB16" s="125" t="s">
        <v>1146</v>
      </c>
      <c r="AC16" s="125" t="s">
        <v>4542</v>
      </c>
      <c r="AD16" s="125" t="s">
        <v>497</v>
      </c>
      <c r="AE16" s="125" t="s">
        <v>624</v>
      </c>
      <c r="AF16" s="129" t="s">
        <v>4543</v>
      </c>
      <c r="XDV16" s="16"/>
    </row>
    <row r="17" spans="1:32 16258:16356" hidden="1" x14ac:dyDescent="0.2">
      <c r="A17" s="125" t="s">
        <v>185</v>
      </c>
      <c r="B17" s="125" t="s">
        <v>940</v>
      </c>
      <c r="C17" s="125" t="s">
        <v>4539</v>
      </c>
      <c r="D17" s="125" t="s">
        <v>4540</v>
      </c>
      <c r="E17" s="125" t="s">
        <v>218</v>
      </c>
      <c r="F17" s="125" t="s">
        <v>4550</v>
      </c>
      <c r="G17" s="64" t="s">
        <v>4537</v>
      </c>
      <c r="H17" s="125" t="s">
        <v>70</v>
      </c>
      <c r="I17" s="125"/>
      <c r="J17" s="125"/>
      <c r="K17" s="125"/>
      <c r="L17" s="125" t="s">
        <v>278</v>
      </c>
      <c r="M17" s="125"/>
      <c r="N17" s="125">
        <v>0.12809999999999999</v>
      </c>
      <c r="O17" s="126">
        <v>0.03</v>
      </c>
      <c r="P17" s="126" t="s">
        <v>4520</v>
      </c>
      <c r="Q17" s="125" t="s">
        <v>684</v>
      </c>
      <c r="R17" s="125" t="s">
        <v>684</v>
      </c>
      <c r="S17" s="125"/>
      <c r="T17" s="127">
        <v>2.35</v>
      </c>
      <c r="U17" s="125" t="s">
        <v>4541</v>
      </c>
      <c r="V17" s="127"/>
      <c r="W17" s="127"/>
      <c r="X17" s="125"/>
      <c r="Y17" s="125"/>
      <c r="Z17" s="125"/>
      <c r="AA17" s="126">
        <v>0.15</v>
      </c>
      <c r="AB17" s="125" t="s">
        <v>1146</v>
      </c>
      <c r="AC17" s="125" t="s">
        <v>4542</v>
      </c>
      <c r="AD17" s="125" t="s">
        <v>497</v>
      </c>
      <c r="AE17" s="125" t="s">
        <v>624</v>
      </c>
      <c r="AF17" s="129" t="s">
        <v>4543</v>
      </c>
      <c r="XDV17" s="16"/>
    </row>
    <row r="18" spans="1:32 16258:16356" hidden="1" x14ac:dyDescent="0.2">
      <c r="A18" s="125" t="s">
        <v>185</v>
      </c>
      <c r="B18" s="125" t="s">
        <v>940</v>
      </c>
      <c r="C18" s="125" t="s">
        <v>4539</v>
      </c>
      <c r="D18" s="125" t="s">
        <v>4540</v>
      </c>
      <c r="E18" s="125" t="s">
        <v>218</v>
      </c>
      <c r="F18" s="125" t="s">
        <v>4550</v>
      </c>
      <c r="G18" s="64" t="s">
        <v>4537</v>
      </c>
      <c r="H18" s="125" t="s">
        <v>71</v>
      </c>
      <c r="I18" s="125"/>
      <c r="J18" s="125"/>
      <c r="K18" s="125"/>
      <c r="L18" s="125" t="s">
        <v>278</v>
      </c>
      <c r="M18" s="125"/>
      <c r="N18" s="125">
        <v>0.1431</v>
      </c>
      <c r="O18" s="126">
        <v>0.03</v>
      </c>
      <c r="P18" s="126" t="s">
        <v>4520</v>
      </c>
      <c r="Q18" s="125" t="s">
        <v>684</v>
      </c>
      <c r="R18" s="125" t="s">
        <v>684</v>
      </c>
      <c r="S18" s="125"/>
      <c r="T18" s="127">
        <v>2.35</v>
      </c>
      <c r="U18" s="125" t="s">
        <v>4541</v>
      </c>
      <c r="V18" s="127"/>
      <c r="W18" s="127"/>
      <c r="X18" s="125"/>
      <c r="Y18" s="125"/>
      <c r="Z18" s="125"/>
      <c r="AA18" s="126">
        <v>0.15</v>
      </c>
      <c r="AB18" s="125" t="s">
        <v>1146</v>
      </c>
      <c r="AC18" s="125" t="s">
        <v>4542</v>
      </c>
      <c r="AD18" s="125" t="s">
        <v>497</v>
      </c>
      <c r="AE18" s="125" t="s">
        <v>624</v>
      </c>
      <c r="AF18" s="129" t="s">
        <v>4543</v>
      </c>
      <c r="XDV18" s="16"/>
    </row>
    <row r="19" spans="1:32 16258:16356" hidden="1" x14ac:dyDescent="0.2">
      <c r="A19" s="125" t="s">
        <v>185</v>
      </c>
      <c r="B19" s="125" t="s">
        <v>940</v>
      </c>
      <c r="C19" s="125" t="s">
        <v>4539</v>
      </c>
      <c r="D19" s="125" t="s">
        <v>4540</v>
      </c>
      <c r="E19" s="125" t="s">
        <v>218</v>
      </c>
      <c r="F19" s="125" t="s">
        <v>4550</v>
      </c>
      <c r="G19" s="128" t="s">
        <v>4560</v>
      </c>
      <c r="H19" s="125" t="s">
        <v>67</v>
      </c>
      <c r="I19" s="125"/>
      <c r="J19" s="125"/>
      <c r="K19" s="125"/>
      <c r="L19" s="125" t="s">
        <v>945</v>
      </c>
      <c r="M19" s="125"/>
      <c r="N19" s="125">
        <v>9.06E-2</v>
      </c>
      <c r="O19" s="126">
        <v>0.03</v>
      </c>
      <c r="P19" s="126" t="s">
        <v>4520</v>
      </c>
      <c r="Q19" s="125" t="s">
        <v>684</v>
      </c>
      <c r="R19" s="125" t="s">
        <v>684</v>
      </c>
      <c r="S19" s="125"/>
      <c r="T19" s="127">
        <v>2.95</v>
      </c>
      <c r="U19" s="125" t="s">
        <v>4544</v>
      </c>
      <c r="V19" s="127"/>
      <c r="W19" s="127"/>
      <c r="X19" s="125"/>
      <c r="Y19" s="125"/>
      <c r="Z19" s="125"/>
      <c r="AA19" s="126">
        <v>0.15</v>
      </c>
      <c r="AB19" s="125" t="s">
        <v>1146</v>
      </c>
      <c r="AC19" s="125" t="s">
        <v>4545</v>
      </c>
      <c r="AD19" s="125" t="s">
        <v>497</v>
      </c>
      <c r="AE19" s="125" t="s">
        <v>624</v>
      </c>
      <c r="AF19" s="129" t="s">
        <v>4543</v>
      </c>
      <c r="XBQ19" s="130"/>
      <c r="XCE19" s="16"/>
      <c r="XCF19" s="130"/>
      <c r="XCG19" s="29"/>
      <c r="XCH19" s="130"/>
      <c r="XCI19" s="131"/>
      <c r="XCK19" s="130"/>
      <c r="XCL19" s="130"/>
      <c r="XCM19" s="130"/>
      <c r="XDV19" s="16"/>
    </row>
    <row r="20" spans="1:32 16258:16356" hidden="1" x14ac:dyDescent="0.2">
      <c r="A20" s="125" t="s">
        <v>185</v>
      </c>
      <c r="B20" s="125" t="s">
        <v>940</v>
      </c>
      <c r="C20" s="125" t="s">
        <v>4539</v>
      </c>
      <c r="D20" s="125" t="s">
        <v>4540</v>
      </c>
      <c r="E20" s="125" t="s">
        <v>218</v>
      </c>
      <c r="F20" s="125" t="s">
        <v>4550</v>
      </c>
      <c r="G20" s="128" t="s">
        <v>4560</v>
      </c>
      <c r="H20" s="125" t="s">
        <v>68</v>
      </c>
      <c r="I20" s="125"/>
      <c r="J20" s="125"/>
      <c r="K20" s="125"/>
      <c r="L20" s="125" t="s">
        <v>945</v>
      </c>
      <c r="M20" s="125"/>
      <c r="N20" s="125">
        <v>0.1024</v>
      </c>
      <c r="O20" s="126">
        <v>0.03</v>
      </c>
      <c r="P20" s="126" t="s">
        <v>4520</v>
      </c>
      <c r="Q20" s="125" t="s">
        <v>684</v>
      </c>
      <c r="R20" s="125" t="s">
        <v>684</v>
      </c>
      <c r="S20" s="125"/>
      <c r="T20" s="127">
        <v>2.95</v>
      </c>
      <c r="U20" s="125" t="s">
        <v>4544</v>
      </c>
      <c r="V20" s="127"/>
      <c r="W20" s="127"/>
      <c r="X20" s="125"/>
      <c r="Y20" s="125"/>
      <c r="Z20" s="125"/>
      <c r="AA20" s="126">
        <v>0.15</v>
      </c>
      <c r="AB20" s="125" t="s">
        <v>1146</v>
      </c>
      <c r="AC20" s="125" t="s">
        <v>4545</v>
      </c>
      <c r="AD20" s="125" t="s">
        <v>497</v>
      </c>
      <c r="AE20" s="125" t="s">
        <v>624</v>
      </c>
      <c r="AF20" s="129" t="s">
        <v>4543</v>
      </c>
      <c r="XDV20" s="16"/>
    </row>
    <row r="21" spans="1:32 16258:16356" hidden="1" x14ac:dyDescent="0.2">
      <c r="A21" s="125" t="s">
        <v>185</v>
      </c>
      <c r="B21" s="125" t="s">
        <v>940</v>
      </c>
      <c r="C21" s="125" t="s">
        <v>4539</v>
      </c>
      <c r="D21" s="125" t="s">
        <v>4540</v>
      </c>
      <c r="E21" s="125" t="s">
        <v>218</v>
      </c>
      <c r="F21" s="125" t="s">
        <v>4550</v>
      </c>
      <c r="G21" s="128" t="s">
        <v>4560</v>
      </c>
      <c r="H21" s="125" t="s">
        <v>69</v>
      </c>
      <c r="I21" s="125"/>
      <c r="J21" s="125"/>
      <c r="K21" s="125"/>
      <c r="L21" s="125" t="s">
        <v>945</v>
      </c>
      <c r="M21" s="125"/>
      <c r="N21" s="125">
        <v>0.11310000000000001</v>
      </c>
      <c r="O21" s="126">
        <v>0.03</v>
      </c>
      <c r="P21" s="126" t="s">
        <v>4520</v>
      </c>
      <c r="Q21" s="125" t="s">
        <v>684</v>
      </c>
      <c r="R21" s="125" t="s">
        <v>684</v>
      </c>
      <c r="S21" s="125"/>
      <c r="T21" s="127">
        <v>2.95</v>
      </c>
      <c r="U21" s="125" t="s">
        <v>4544</v>
      </c>
      <c r="V21" s="127"/>
      <c r="W21" s="127"/>
      <c r="X21" s="125"/>
      <c r="Y21" s="125"/>
      <c r="Z21" s="125"/>
      <c r="AA21" s="126">
        <v>0.15</v>
      </c>
      <c r="AB21" s="125" t="s">
        <v>1146</v>
      </c>
      <c r="AC21" s="125" t="s">
        <v>4545</v>
      </c>
      <c r="AD21" s="125" t="s">
        <v>497</v>
      </c>
      <c r="AE21" s="125" t="s">
        <v>624</v>
      </c>
      <c r="AF21" s="129" t="s">
        <v>4543</v>
      </c>
      <c r="XDV21" s="16"/>
    </row>
    <row r="22" spans="1:32 16258:16356" hidden="1" x14ac:dyDescent="0.2">
      <c r="A22" s="125" t="s">
        <v>185</v>
      </c>
      <c r="B22" s="125" t="s">
        <v>940</v>
      </c>
      <c r="C22" s="125" t="s">
        <v>4539</v>
      </c>
      <c r="D22" s="125" t="s">
        <v>4540</v>
      </c>
      <c r="E22" s="125" t="s">
        <v>218</v>
      </c>
      <c r="F22" s="125" t="s">
        <v>4550</v>
      </c>
      <c r="G22" s="128" t="s">
        <v>4560</v>
      </c>
      <c r="H22" s="125" t="s">
        <v>70</v>
      </c>
      <c r="I22" s="125"/>
      <c r="J22" s="125"/>
      <c r="K22" s="125"/>
      <c r="L22" s="125" t="s">
        <v>945</v>
      </c>
      <c r="M22" s="125"/>
      <c r="N22" s="125">
        <v>0.12809999999999999</v>
      </c>
      <c r="O22" s="126">
        <v>0.03</v>
      </c>
      <c r="P22" s="126" t="s">
        <v>4520</v>
      </c>
      <c r="Q22" s="125" t="s">
        <v>684</v>
      </c>
      <c r="R22" s="125" t="s">
        <v>684</v>
      </c>
      <c r="S22" s="125"/>
      <c r="T22" s="127">
        <v>2.95</v>
      </c>
      <c r="U22" s="125" t="s">
        <v>4544</v>
      </c>
      <c r="V22" s="127"/>
      <c r="W22" s="127"/>
      <c r="X22" s="125"/>
      <c r="Y22" s="125"/>
      <c r="Z22" s="125"/>
      <c r="AA22" s="126">
        <v>0.15</v>
      </c>
      <c r="AB22" s="125" t="s">
        <v>1146</v>
      </c>
      <c r="AC22" s="125" t="s">
        <v>4545</v>
      </c>
      <c r="AD22" s="125" t="s">
        <v>497</v>
      </c>
      <c r="AE22" s="125" t="s">
        <v>624</v>
      </c>
      <c r="AF22" s="129" t="s">
        <v>4543</v>
      </c>
      <c r="XDV22" s="16"/>
    </row>
    <row r="23" spans="1:32 16258:16356" hidden="1" x14ac:dyDescent="0.2">
      <c r="A23" s="125" t="s">
        <v>185</v>
      </c>
      <c r="B23" s="125" t="s">
        <v>940</v>
      </c>
      <c r="C23" s="125" t="s">
        <v>4539</v>
      </c>
      <c r="D23" s="125" t="s">
        <v>4540</v>
      </c>
      <c r="E23" s="125" t="s">
        <v>218</v>
      </c>
      <c r="F23" s="125" t="s">
        <v>4550</v>
      </c>
      <c r="G23" s="128" t="s">
        <v>4560</v>
      </c>
      <c r="H23" s="125" t="s">
        <v>71</v>
      </c>
      <c r="I23" s="125"/>
      <c r="J23" s="125"/>
      <c r="K23" s="125"/>
      <c r="L23" s="125" t="s">
        <v>945</v>
      </c>
      <c r="M23" s="125"/>
      <c r="N23" s="125">
        <v>0.1431</v>
      </c>
      <c r="O23" s="126">
        <v>0.03</v>
      </c>
      <c r="P23" s="126" t="s">
        <v>4520</v>
      </c>
      <c r="Q23" s="125" t="s">
        <v>684</v>
      </c>
      <c r="R23" s="125" t="s">
        <v>684</v>
      </c>
      <c r="S23" s="125"/>
      <c r="T23" s="127">
        <v>2.95</v>
      </c>
      <c r="U23" s="125" t="s">
        <v>4544</v>
      </c>
      <c r="V23" s="127"/>
      <c r="W23" s="127"/>
      <c r="X23" s="125"/>
      <c r="Y23" s="125"/>
      <c r="Z23" s="125"/>
      <c r="AA23" s="126">
        <v>0.15</v>
      </c>
      <c r="AB23" s="125" t="s">
        <v>1146</v>
      </c>
      <c r="AC23" s="125" t="s">
        <v>4545</v>
      </c>
      <c r="AD23" s="125" t="s">
        <v>497</v>
      </c>
      <c r="AE23" s="125" t="s">
        <v>624</v>
      </c>
      <c r="AF23" s="129" t="s">
        <v>4543</v>
      </c>
      <c r="XDV23" s="16"/>
    </row>
    <row r="24" spans="1:32 16258:16356" x14ac:dyDescent="0.2">
      <c r="A24" s="125" t="s">
        <v>185</v>
      </c>
      <c r="B24" s="125" t="s">
        <v>940</v>
      </c>
      <c r="C24" s="125" t="s">
        <v>4546</v>
      </c>
      <c r="D24" s="124" t="s">
        <v>4547</v>
      </c>
      <c r="E24" s="124" t="s">
        <v>218</v>
      </c>
      <c r="F24" s="125" t="s">
        <v>4550</v>
      </c>
      <c r="G24" s="64" t="s">
        <v>4537</v>
      </c>
      <c r="H24" s="125" t="s">
        <v>67</v>
      </c>
      <c r="I24" s="62">
        <v>745</v>
      </c>
      <c r="J24" s="62">
        <f>(N24 + (N24*O24))*I24</f>
        <v>7.2950399999999993</v>
      </c>
      <c r="K24" s="125"/>
      <c r="L24" s="125" t="s">
        <v>278</v>
      </c>
      <c r="M24" s="125"/>
      <c r="N24" s="125">
        <v>9.5999999999999992E-3</v>
      </c>
      <c r="O24" s="126">
        <v>0.02</v>
      </c>
      <c r="P24" s="126" t="s">
        <v>4520</v>
      </c>
      <c r="Q24" s="125" t="s">
        <v>684</v>
      </c>
      <c r="R24" s="125" t="s">
        <v>684</v>
      </c>
      <c r="S24" s="125"/>
      <c r="T24" s="127">
        <v>1.96</v>
      </c>
      <c r="U24" s="125" t="s">
        <v>4548</v>
      </c>
      <c r="V24" s="127"/>
      <c r="W24" s="127"/>
      <c r="X24" s="125"/>
      <c r="Y24" s="125"/>
      <c r="Z24" s="125"/>
      <c r="AA24" s="126">
        <v>0.15</v>
      </c>
      <c r="AB24" s="125" t="s">
        <v>1146</v>
      </c>
      <c r="AC24" s="125" t="s">
        <v>4549</v>
      </c>
      <c r="AD24" s="125" t="s">
        <v>497</v>
      </c>
      <c r="AE24" s="125" t="s">
        <v>624</v>
      </c>
      <c r="AF24" s="129" t="s">
        <v>4543</v>
      </c>
      <c r="XAH24" s="130"/>
      <c r="XBQ24" s="130"/>
      <c r="XCE24" s="16"/>
      <c r="XCF24" s="130"/>
      <c r="XCH24" s="130"/>
      <c r="XCK24" s="130"/>
      <c r="XCL24" s="130"/>
      <c r="XCM24" s="130"/>
      <c r="XDU24" s="130"/>
      <c r="XDV24" s="29"/>
      <c r="XDW24" s="130"/>
      <c r="XDX24" s="131"/>
      <c r="XDZ24" s="130"/>
      <c r="XEA24" s="130"/>
      <c r="XEB24" s="130"/>
    </row>
    <row r="25" spans="1:32 16258:16356" x14ac:dyDescent="0.2">
      <c r="A25" s="125" t="s">
        <v>185</v>
      </c>
      <c r="B25" s="125" t="s">
        <v>940</v>
      </c>
      <c r="C25" s="125" t="s">
        <v>4546</v>
      </c>
      <c r="D25" s="124" t="s">
        <v>4547</v>
      </c>
      <c r="E25" s="124" t="s">
        <v>218</v>
      </c>
      <c r="F25" s="125" t="s">
        <v>4550</v>
      </c>
      <c r="G25" s="64" t="s">
        <v>4537</v>
      </c>
      <c r="H25" s="125" t="s">
        <v>68</v>
      </c>
      <c r="I25" s="62">
        <v>2259</v>
      </c>
      <c r="J25" s="62">
        <f t="shared" ref="J25:J27" si="0">(N25 + (N25*O25))*I25</f>
        <v>24.885144</v>
      </c>
      <c r="K25" s="125"/>
      <c r="L25" s="125" t="s">
        <v>278</v>
      </c>
      <c r="M25" s="125"/>
      <c r="N25" s="125">
        <v>1.0800000000000001E-2</v>
      </c>
      <c r="O25" s="126">
        <v>0.02</v>
      </c>
      <c r="P25" s="126" t="s">
        <v>4520</v>
      </c>
      <c r="Q25" s="125" t="s">
        <v>684</v>
      </c>
      <c r="R25" s="125" t="s">
        <v>684</v>
      </c>
      <c r="S25" s="125"/>
      <c r="T25" s="127">
        <v>1.96</v>
      </c>
      <c r="U25" s="125" t="s">
        <v>4548</v>
      </c>
      <c r="V25" s="127"/>
      <c r="W25" s="127"/>
      <c r="X25" s="125"/>
      <c r="Y25" s="125"/>
      <c r="Z25" s="125"/>
      <c r="AA25" s="126">
        <v>0.15</v>
      </c>
      <c r="AB25" s="125" t="s">
        <v>1146</v>
      </c>
      <c r="AC25" s="125" t="s">
        <v>4549</v>
      </c>
      <c r="AD25" s="125" t="s">
        <v>497</v>
      </c>
      <c r="AE25" s="125" t="s">
        <v>624</v>
      </c>
      <c r="AF25" s="129" t="s">
        <v>4543</v>
      </c>
      <c r="XDV25" s="16"/>
    </row>
    <row r="26" spans="1:32 16258:16356" x14ac:dyDescent="0.2">
      <c r="A26" s="125" t="s">
        <v>185</v>
      </c>
      <c r="B26" s="125" t="s">
        <v>940</v>
      </c>
      <c r="C26" s="125" t="s">
        <v>4546</v>
      </c>
      <c r="D26" s="124" t="s">
        <v>4547</v>
      </c>
      <c r="E26" s="124" t="s">
        <v>218</v>
      </c>
      <c r="F26" s="125" t="s">
        <v>4550</v>
      </c>
      <c r="G26" s="64" t="s">
        <v>4537</v>
      </c>
      <c r="H26" s="125" t="s">
        <v>69</v>
      </c>
      <c r="I26" s="62">
        <v>1061</v>
      </c>
      <c r="J26" s="62">
        <f t="shared" si="0"/>
        <v>12.337308000000002</v>
      </c>
      <c r="K26" s="125"/>
      <c r="L26" s="125" t="s">
        <v>278</v>
      </c>
      <c r="M26" s="125"/>
      <c r="N26" s="125">
        <v>1.14E-2</v>
      </c>
      <c r="O26" s="126">
        <v>0.02</v>
      </c>
      <c r="P26" s="126" t="s">
        <v>4520</v>
      </c>
      <c r="Q26" s="125" t="s">
        <v>684</v>
      </c>
      <c r="R26" s="125" t="s">
        <v>684</v>
      </c>
      <c r="S26" s="125"/>
      <c r="T26" s="127">
        <v>1.96</v>
      </c>
      <c r="U26" s="125" t="s">
        <v>4548</v>
      </c>
      <c r="V26" s="127"/>
      <c r="W26" s="127"/>
      <c r="X26" s="125"/>
      <c r="Y26" s="125"/>
      <c r="Z26" s="125"/>
      <c r="AA26" s="126">
        <v>0.15</v>
      </c>
      <c r="AB26" s="125" t="s">
        <v>1146</v>
      </c>
      <c r="AC26" s="125" t="s">
        <v>4549</v>
      </c>
      <c r="AD26" s="125" t="s">
        <v>497</v>
      </c>
      <c r="AE26" s="125" t="s">
        <v>624</v>
      </c>
      <c r="AF26" s="129" t="s">
        <v>4543</v>
      </c>
      <c r="XDV26" s="16"/>
    </row>
    <row r="27" spans="1:32 16258:16356" x14ac:dyDescent="0.2">
      <c r="A27" s="125" t="s">
        <v>185</v>
      </c>
      <c r="B27" s="125" t="s">
        <v>940</v>
      </c>
      <c r="C27" s="125" t="s">
        <v>4546</v>
      </c>
      <c r="D27" s="160" t="s">
        <v>4547</v>
      </c>
      <c r="E27" s="124" t="s">
        <v>218</v>
      </c>
      <c r="F27" s="125" t="s">
        <v>4550</v>
      </c>
      <c r="G27" s="64" t="s">
        <v>4537</v>
      </c>
      <c r="H27" s="125" t="s">
        <v>70</v>
      </c>
      <c r="I27" s="62">
        <v>109</v>
      </c>
      <c r="J27" s="62">
        <f t="shared" si="0"/>
        <v>1.4231039999999999</v>
      </c>
      <c r="K27" s="125"/>
      <c r="L27" s="125" t="s">
        <v>278</v>
      </c>
      <c r="M27" s="125"/>
      <c r="N27" s="125">
        <v>1.2800000000000001E-2</v>
      </c>
      <c r="O27" s="126">
        <v>0.02</v>
      </c>
      <c r="P27" s="126" t="s">
        <v>4520</v>
      </c>
      <c r="Q27" s="125" t="s">
        <v>684</v>
      </c>
      <c r="R27" s="125" t="s">
        <v>684</v>
      </c>
      <c r="S27" s="125"/>
      <c r="T27" s="127">
        <v>1.96</v>
      </c>
      <c r="U27" s="125" t="s">
        <v>4548</v>
      </c>
      <c r="V27" s="127"/>
      <c r="W27" s="127"/>
      <c r="X27" s="125"/>
      <c r="Y27" s="125"/>
      <c r="Z27" s="125"/>
      <c r="AA27" s="126">
        <v>0.15</v>
      </c>
      <c r="AB27" s="125" t="s">
        <v>1146</v>
      </c>
      <c r="AC27" s="125" t="s">
        <v>4549</v>
      </c>
      <c r="AD27" s="125" t="s">
        <v>497</v>
      </c>
      <c r="AE27" s="125" t="s">
        <v>624</v>
      </c>
      <c r="AF27" s="129" t="s">
        <v>4543</v>
      </c>
      <c r="XDV27" s="16"/>
    </row>
    <row r="28" spans="1:32 16258:16356" x14ac:dyDescent="0.2">
      <c r="A28" s="125" t="s">
        <v>185</v>
      </c>
      <c r="B28" s="125" t="s">
        <v>940</v>
      </c>
      <c r="C28" s="125" t="s">
        <v>4546</v>
      </c>
      <c r="D28" s="124" t="s">
        <v>4547</v>
      </c>
      <c r="E28" s="124" t="s">
        <v>218</v>
      </c>
      <c r="F28" s="125" t="s">
        <v>4550</v>
      </c>
      <c r="G28" s="64" t="s">
        <v>4537</v>
      </c>
      <c r="H28" s="125" t="s">
        <v>71</v>
      </c>
      <c r="I28" s="158"/>
      <c r="J28" s="125"/>
      <c r="K28" s="125"/>
      <c r="L28" s="125" t="s">
        <v>278</v>
      </c>
      <c r="M28" s="125"/>
      <c r="N28" s="125">
        <v>1.3599999999999999E-2</v>
      </c>
      <c r="O28" s="126">
        <v>0.02</v>
      </c>
      <c r="P28" s="126" t="s">
        <v>4520</v>
      </c>
      <c r="Q28" s="125" t="s">
        <v>684</v>
      </c>
      <c r="R28" s="125" t="s">
        <v>684</v>
      </c>
      <c r="S28" s="125"/>
      <c r="T28" s="127">
        <v>1.96</v>
      </c>
      <c r="U28" s="125" t="s">
        <v>4548</v>
      </c>
      <c r="V28" s="127"/>
      <c r="W28" s="127"/>
      <c r="X28" s="125"/>
      <c r="Y28" s="125"/>
      <c r="Z28" s="125"/>
      <c r="AA28" s="126">
        <v>0.15</v>
      </c>
      <c r="AB28" s="125" t="s">
        <v>1146</v>
      </c>
      <c r="AC28" s="125" t="s">
        <v>4549</v>
      </c>
      <c r="AD28" s="125" t="s">
        <v>497</v>
      </c>
      <c r="AE28" s="125" t="s">
        <v>624</v>
      </c>
      <c r="AF28" s="129" t="s">
        <v>4543</v>
      </c>
      <c r="XDV28" s="16"/>
    </row>
    <row r="29" spans="1:32 16258:16356" hidden="1" x14ac:dyDescent="0.2">
      <c r="A29" s="125" t="s">
        <v>185</v>
      </c>
      <c r="B29" s="125" t="s">
        <v>940</v>
      </c>
      <c r="C29" s="125" t="s">
        <v>4546</v>
      </c>
      <c r="D29" s="124" t="s">
        <v>4547</v>
      </c>
      <c r="E29" s="124" t="s">
        <v>218</v>
      </c>
      <c r="F29" s="125" t="s">
        <v>4550</v>
      </c>
      <c r="G29" s="128" t="s">
        <v>4560</v>
      </c>
      <c r="H29" s="125" t="s">
        <v>67</v>
      </c>
      <c r="I29" s="125"/>
      <c r="J29" s="125"/>
      <c r="K29" s="125"/>
      <c r="L29" s="125" t="s">
        <v>945</v>
      </c>
      <c r="M29" s="125"/>
      <c r="N29" s="125">
        <v>9.5999999999999992E-3</v>
      </c>
      <c r="O29" s="126">
        <v>0.02</v>
      </c>
      <c r="P29" s="126" t="s">
        <v>4520</v>
      </c>
      <c r="Q29" s="125" t="s">
        <v>684</v>
      </c>
      <c r="R29" s="125" t="s">
        <v>684</v>
      </c>
      <c r="S29" s="125"/>
      <c r="T29" s="127">
        <v>1.96</v>
      </c>
      <c r="U29" s="125" t="s">
        <v>4548</v>
      </c>
      <c r="V29" s="127"/>
      <c r="W29" s="127"/>
      <c r="X29" s="125"/>
      <c r="Y29" s="125"/>
      <c r="Z29" s="125"/>
      <c r="AA29" s="126">
        <v>0.15</v>
      </c>
      <c r="AB29" s="125" t="s">
        <v>1146</v>
      </c>
      <c r="AC29" s="125" t="s">
        <v>4549</v>
      </c>
      <c r="AD29" s="125" t="s">
        <v>497</v>
      </c>
      <c r="AE29" s="125" t="s">
        <v>624</v>
      </c>
      <c r="AF29" s="129" t="s">
        <v>4543</v>
      </c>
    </row>
    <row r="30" spans="1:32 16258:16356" hidden="1" x14ac:dyDescent="0.2">
      <c r="A30" s="125" t="s">
        <v>185</v>
      </c>
      <c r="B30" s="125" t="s">
        <v>940</v>
      </c>
      <c r="C30" s="125" t="s">
        <v>4546</v>
      </c>
      <c r="D30" s="124" t="s">
        <v>4547</v>
      </c>
      <c r="E30" s="124" t="s">
        <v>218</v>
      </c>
      <c r="F30" s="125" t="s">
        <v>4550</v>
      </c>
      <c r="G30" s="128" t="s">
        <v>4560</v>
      </c>
      <c r="H30" s="125" t="s">
        <v>68</v>
      </c>
      <c r="I30" s="125"/>
      <c r="J30" s="125"/>
      <c r="K30" s="125"/>
      <c r="L30" s="125" t="s">
        <v>945</v>
      </c>
      <c r="M30" s="125"/>
      <c r="N30" s="125">
        <v>1.0800000000000001E-2</v>
      </c>
      <c r="O30" s="126">
        <v>0.02</v>
      </c>
      <c r="P30" s="126" t="s">
        <v>4520</v>
      </c>
      <c r="Q30" s="125" t="s">
        <v>684</v>
      </c>
      <c r="R30" s="125" t="s">
        <v>684</v>
      </c>
      <c r="S30" s="125"/>
      <c r="T30" s="127">
        <v>1.96</v>
      </c>
      <c r="U30" s="125" t="s">
        <v>4548</v>
      </c>
      <c r="V30" s="127"/>
      <c r="W30" s="127"/>
      <c r="X30" s="125"/>
      <c r="Y30" s="125"/>
      <c r="Z30" s="125"/>
      <c r="AA30" s="126">
        <v>0.15</v>
      </c>
      <c r="AB30" s="125" t="s">
        <v>1146</v>
      </c>
      <c r="AC30" s="125" t="s">
        <v>4549</v>
      </c>
      <c r="AD30" s="125" t="s">
        <v>497</v>
      </c>
      <c r="AE30" s="125" t="s">
        <v>624</v>
      </c>
      <c r="AF30" s="129" t="s">
        <v>4543</v>
      </c>
    </row>
    <row r="31" spans="1:32 16258:16356" hidden="1" x14ac:dyDescent="0.2">
      <c r="A31" s="125" t="s">
        <v>185</v>
      </c>
      <c r="B31" s="125" t="s">
        <v>940</v>
      </c>
      <c r="C31" s="125" t="s">
        <v>4546</v>
      </c>
      <c r="D31" s="124" t="s">
        <v>4547</v>
      </c>
      <c r="E31" s="124" t="s">
        <v>218</v>
      </c>
      <c r="F31" s="125" t="s">
        <v>4550</v>
      </c>
      <c r="G31" s="128" t="s">
        <v>4560</v>
      </c>
      <c r="H31" s="125" t="s">
        <v>69</v>
      </c>
      <c r="I31" s="125"/>
      <c r="J31" s="125"/>
      <c r="K31" s="125"/>
      <c r="L31" s="125" t="s">
        <v>945</v>
      </c>
      <c r="M31" s="125"/>
      <c r="N31" s="125">
        <v>1.14E-2</v>
      </c>
      <c r="O31" s="126">
        <v>0.02</v>
      </c>
      <c r="P31" s="126" t="s">
        <v>4520</v>
      </c>
      <c r="Q31" s="125" t="s">
        <v>684</v>
      </c>
      <c r="R31" s="125" t="s">
        <v>684</v>
      </c>
      <c r="S31" s="125"/>
      <c r="T31" s="127">
        <v>1.96</v>
      </c>
      <c r="U31" s="125" t="s">
        <v>4548</v>
      </c>
      <c r="V31" s="127"/>
      <c r="W31" s="127"/>
      <c r="X31" s="125"/>
      <c r="Y31" s="125"/>
      <c r="Z31" s="125"/>
      <c r="AA31" s="126">
        <v>0.15</v>
      </c>
      <c r="AB31" s="125" t="s">
        <v>1146</v>
      </c>
      <c r="AC31" s="125" t="s">
        <v>4549</v>
      </c>
      <c r="AD31" s="125" t="s">
        <v>497</v>
      </c>
      <c r="AE31" s="125" t="s">
        <v>624</v>
      </c>
      <c r="AF31" s="129" t="s">
        <v>4543</v>
      </c>
    </row>
    <row r="32" spans="1:32 16258:16356" hidden="1" x14ac:dyDescent="0.2">
      <c r="A32" s="125" t="s">
        <v>185</v>
      </c>
      <c r="B32" s="125" t="s">
        <v>940</v>
      </c>
      <c r="C32" s="125" t="s">
        <v>4546</v>
      </c>
      <c r="D32" s="124" t="s">
        <v>4547</v>
      </c>
      <c r="E32" s="124" t="s">
        <v>218</v>
      </c>
      <c r="F32" s="125" t="s">
        <v>4550</v>
      </c>
      <c r="G32" s="128" t="s">
        <v>4560</v>
      </c>
      <c r="H32" s="125" t="s">
        <v>70</v>
      </c>
      <c r="I32" s="125"/>
      <c r="J32" s="125"/>
      <c r="K32" s="125"/>
      <c r="L32" s="125" t="s">
        <v>945</v>
      </c>
      <c r="M32" s="125"/>
      <c r="N32" s="125">
        <v>1.2800000000000001E-2</v>
      </c>
      <c r="O32" s="126">
        <v>0.02</v>
      </c>
      <c r="P32" s="126" t="s">
        <v>4520</v>
      </c>
      <c r="Q32" s="125" t="s">
        <v>684</v>
      </c>
      <c r="R32" s="125" t="s">
        <v>684</v>
      </c>
      <c r="S32" s="125"/>
      <c r="T32" s="127">
        <v>1.96</v>
      </c>
      <c r="U32" s="125" t="s">
        <v>4548</v>
      </c>
      <c r="V32" s="127"/>
      <c r="W32" s="127"/>
      <c r="X32" s="125"/>
      <c r="Y32" s="125"/>
      <c r="Z32" s="125"/>
      <c r="AA32" s="126">
        <v>0.15</v>
      </c>
      <c r="AB32" s="125" t="s">
        <v>1146</v>
      </c>
      <c r="AC32" s="125" t="s">
        <v>4549</v>
      </c>
      <c r="AD32" s="125" t="s">
        <v>497</v>
      </c>
      <c r="AE32" s="125" t="s">
        <v>624</v>
      </c>
      <c r="AF32" s="129" t="s">
        <v>4543</v>
      </c>
    </row>
    <row r="33" spans="1:32" hidden="1" x14ac:dyDescent="0.2">
      <c r="A33" s="125" t="s">
        <v>185</v>
      </c>
      <c r="B33" s="125" t="s">
        <v>940</v>
      </c>
      <c r="C33" s="125" t="s">
        <v>4546</v>
      </c>
      <c r="D33" s="124" t="s">
        <v>4547</v>
      </c>
      <c r="E33" s="124" t="s">
        <v>218</v>
      </c>
      <c r="F33" s="125" t="s">
        <v>4550</v>
      </c>
      <c r="G33" s="128" t="s">
        <v>4560</v>
      </c>
      <c r="H33" s="125" t="s">
        <v>71</v>
      </c>
      <c r="I33" s="125"/>
      <c r="J33" s="125"/>
      <c r="K33" s="125"/>
      <c r="L33" s="125" t="s">
        <v>945</v>
      </c>
      <c r="M33" s="125"/>
      <c r="N33" s="125">
        <v>1.3599999999999999E-2</v>
      </c>
      <c r="O33" s="126">
        <v>0.02</v>
      </c>
      <c r="P33" s="126" t="s">
        <v>4520</v>
      </c>
      <c r="Q33" s="125" t="s">
        <v>684</v>
      </c>
      <c r="R33" s="125" t="s">
        <v>684</v>
      </c>
      <c r="S33" s="125"/>
      <c r="T33" s="127">
        <v>1.96</v>
      </c>
      <c r="U33" s="125" t="s">
        <v>4548</v>
      </c>
      <c r="V33" s="127"/>
      <c r="W33" s="127"/>
      <c r="X33" s="125"/>
      <c r="Y33" s="125"/>
      <c r="Z33" s="125"/>
      <c r="AA33" s="126">
        <v>0.15</v>
      </c>
      <c r="AB33" s="125" t="s">
        <v>1146</v>
      </c>
      <c r="AC33" s="125" t="s">
        <v>4549</v>
      </c>
      <c r="AD33" s="125" t="s">
        <v>497</v>
      </c>
      <c r="AE33" s="125" t="s">
        <v>624</v>
      </c>
      <c r="AF33" s="129" t="s">
        <v>4543</v>
      </c>
    </row>
    <row r="34" spans="1:32" hidden="1" x14ac:dyDescent="0.25">
      <c r="A34" s="132" t="s">
        <v>216</v>
      </c>
      <c r="B34" s="132" t="s">
        <v>495</v>
      </c>
      <c r="C34" s="132" t="s">
        <v>4551</v>
      </c>
      <c r="D34" s="133" t="s">
        <v>4552</v>
      </c>
      <c r="E34" s="133" t="s">
        <v>187</v>
      </c>
      <c r="F34" s="132" t="s">
        <v>4550</v>
      </c>
      <c r="G34" s="134" t="s">
        <v>4537</v>
      </c>
      <c r="H34" s="132" t="s">
        <v>67</v>
      </c>
      <c r="I34" s="132"/>
      <c r="J34" s="132"/>
      <c r="K34" s="132"/>
      <c r="L34" s="132" t="s">
        <v>4555</v>
      </c>
      <c r="M34" s="132"/>
      <c r="N34" s="132">
        <v>0.66669999999999996</v>
      </c>
      <c r="O34" s="135">
        <v>0.06</v>
      </c>
      <c r="P34" s="135" t="s">
        <v>4520</v>
      </c>
      <c r="Q34" s="132" t="s">
        <v>684</v>
      </c>
      <c r="R34" s="132" t="s">
        <v>4553</v>
      </c>
      <c r="S34" s="132">
        <v>0.91400000000000003</v>
      </c>
      <c r="T34" s="136">
        <v>0.30599999999999999</v>
      </c>
      <c r="U34" s="132"/>
      <c r="V34" s="136">
        <v>4.0000000000000001E-3</v>
      </c>
      <c r="W34" s="136"/>
      <c r="X34" s="132"/>
      <c r="Y34" s="132"/>
      <c r="Z34" s="132"/>
      <c r="AA34" s="135" t="s">
        <v>4554</v>
      </c>
      <c r="AB34" s="132" t="s">
        <v>1104</v>
      </c>
      <c r="AC34" s="132" t="s">
        <v>4545</v>
      </c>
      <c r="AD34" s="132" t="s">
        <v>571</v>
      </c>
      <c r="AE34" s="132" t="s">
        <v>572</v>
      </c>
      <c r="AF34" s="132" t="s">
        <v>4543</v>
      </c>
    </row>
    <row r="35" spans="1:32" hidden="1" x14ac:dyDescent="0.25">
      <c r="A35" s="132" t="s">
        <v>216</v>
      </c>
      <c r="B35" s="132" t="s">
        <v>495</v>
      </c>
      <c r="C35" s="132" t="s">
        <v>4551</v>
      </c>
      <c r="D35" s="133" t="s">
        <v>4552</v>
      </c>
      <c r="E35" s="133" t="s">
        <v>187</v>
      </c>
      <c r="F35" s="132" t="s">
        <v>4550</v>
      </c>
      <c r="G35" s="134" t="s">
        <v>4537</v>
      </c>
      <c r="H35" s="132" t="s">
        <v>68</v>
      </c>
      <c r="I35" s="132"/>
      <c r="J35" s="132"/>
      <c r="K35" s="132"/>
      <c r="L35" s="132" t="s">
        <v>4555</v>
      </c>
      <c r="M35" s="132"/>
      <c r="N35" s="132">
        <v>0.72219999999999995</v>
      </c>
      <c r="O35" s="135">
        <v>0.06</v>
      </c>
      <c r="P35" s="135" t="s">
        <v>4520</v>
      </c>
      <c r="Q35" s="132" t="s">
        <v>684</v>
      </c>
      <c r="R35" s="132" t="s">
        <v>4553</v>
      </c>
      <c r="S35" s="132">
        <v>0.91400000000000003</v>
      </c>
      <c r="T35" s="136">
        <v>0.30599999999999999</v>
      </c>
      <c r="U35" s="132"/>
      <c r="V35" s="136">
        <v>4.0000000000000001E-3</v>
      </c>
      <c r="W35" s="136"/>
      <c r="X35" s="132"/>
      <c r="Y35" s="132"/>
      <c r="Z35" s="132"/>
      <c r="AA35" s="135" t="s">
        <v>4554</v>
      </c>
      <c r="AB35" s="132" t="s">
        <v>1104</v>
      </c>
      <c r="AC35" s="132" t="s">
        <v>4545</v>
      </c>
      <c r="AD35" s="132" t="s">
        <v>571</v>
      </c>
      <c r="AE35" s="132" t="s">
        <v>572</v>
      </c>
      <c r="AF35" s="132" t="s">
        <v>4543</v>
      </c>
    </row>
    <row r="36" spans="1:32" hidden="1" x14ac:dyDescent="0.25">
      <c r="A36" s="132" t="s">
        <v>216</v>
      </c>
      <c r="B36" s="132" t="s">
        <v>495</v>
      </c>
      <c r="C36" s="132" t="s">
        <v>4551</v>
      </c>
      <c r="D36" s="133" t="s">
        <v>4552</v>
      </c>
      <c r="E36" s="133" t="s">
        <v>187</v>
      </c>
      <c r="F36" s="132" t="s">
        <v>4550</v>
      </c>
      <c r="G36" s="134" t="s">
        <v>4537</v>
      </c>
      <c r="H36" s="132" t="s">
        <v>69</v>
      </c>
      <c r="I36" s="132"/>
      <c r="J36" s="132"/>
      <c r="K36" s="132"/>
      <c r="L36" s="132" t="s">
        <v>4555</v>
      </c>
      <c r="M36" s="132"/>
      <c r="N36" s="132">
        <v>0.77780000000000005</v>
      </c>
      <c r="O36" s="135">
        <v>0.06</v>
      </c>
      <c r="P36" s="135" t="s">
        <v>4520</v>
      </c>
      <c r="Q36" s="132" t="s">
        <v>684</v>
      </c>
      <c r="R36" s="132" t="s">
        <v>4553</v>
      </c>
      <c r="S36" s="132">
        <v>0.91400000000000003</v>
      </c>
      <c r="T36" s="136">
        <v>0.30599999999999999</v>
      </c>
      <c r="U36" s="132"/>
      <c r="V36" s="136">
        <v>4.0000000000000001E-3</v>
      </c>
      <c r="W36" s="136"/>
      <c r="X36" s="132"/>
      <c r="Y36" s="132"/>
      <c r="Z36" s="132"/>
      <c r="AA36" s="135" t="s">
        <v>4554</v>
      </c>
      <c r="AB36" s="132" t="s">
        <v>1104</v>
      </c>
      <c r="AC36" s="132" t="s">
        <v>4545</v>
      </c>
      <c r="AD36" s="132" t="s">
        <v>571</v>
      </c>
      <c r="AE36" s="132" t="s">
        <v>572</v>
      </c>
      <c r="AF36" s="132" t="s">
        <v>4543</v>
      </c>
    </row>
    <row r="37" spans="1:32" hidden="1" x14ac:dyDescent="0.25">
      <c r="A37" s="132" t="s">
        <v>216</v>
      </c>
      <c r="B37" s="132" t="s">
        <v>495</v>
      </c>
      <c r="C37" s="132" t="s">
        <v>4551</v>
      </c>
      <c r="D37" s="133" t="s">
        <v>4552</v>
      </c>
      <c r="E37" s="133" t="s">
        <v>187</v>
      </c>
      <c r="F37" s="132" t="s">
        <v>4550</v>
      </c>
      <c r="G37" s="134" t="s">
        <v>4537</v>
      </c>
      <c r="H37" s="132" t="s">
        <v>70</v>
      </c>
      <c r="I37" s="132"/>
      <c r="J37" s="132"/>
      <c r="K37" s="132"/>
      <c r="L37" s="132" t="s">
        <v>4555</v>
      </c>
      <c r="M37" s="132"/>
      <c r="N37" s="132">
        <v>0.83330000000000004</v>
      </c>
      <c r="O37" s="135">
        <v>0.06</v>
      </c>
      <c r="P37" s="135" t="s">
        <v>4520</v>
      </c>
      <c r="Q37" s="132" t="s">
        <v>684</v>
      </c>
      <c r="R37" s="132" t="s">
        <v>4553</v>
      </c>
      <c r="S37" s="132">
        <v>0.91400000000000003</v>
      </c>
      <c r="T37" s="136">
        <v>0.30599999999999999</v>
      </c>
      <c r="U37" s="132"/>
      <c r="V37" s="136">
        <v>4.0000000000000001E-3</v>
      </c>
      <c r="W37" s="136"/>
      <c r="X37" s="132"/>
      <c r="Y37" s="132"/>
      <c r="Z37" s="132"/>
      <c r="AA37" s="135" t="s">
        <v>4554</v>
      </c>
      <c r="AB37" s="132" t="s">
        <v>1104</v>
      </c>
      <c r="AC37" s="132" t="s">
        <v>4545</v>
      </c>
      <c r="AD37" s="132" t="s">
        <v>571</v>
      </c>
      <c r="AE37" s="132" t="s">
        <v>572</v>
      </c>
      <c r="AF37" s="132" t="s">
        <v>4543</v>
      </c>
    </row>
    <row r="38" spans="1:32" hidden="1" x14ac:dyDescent="0.25">
      <c r="A38" s="132" t="s">
        <v>216</v>
      </c>
      <c r="B38" s="132" t="s">
        <v>495</v>
      </c>
      <c r="C38" s="132" t="s">
        <v>4551</v>
      </c>
      <c r="D38" s="133" t="s">
        <v>4552</v>
      </c>
      <c r="E38" s="133" t="s">
        <v>187</v>
      </c>
      <c r="F38" s="132" t="s">
        <v>4550</v>
      </c>
      <c r="G38" s="134" t="s">
        <v>4537</v>
      </c>
      <c r="H38" s="132" t="s">
        <v>71</v>
      </c>
      <c r="I38" s="132"/>
      <c r="J38" s="132"/>
      <c r="K38" s="132"/>
      <c r="L38" s="132" t="s">
        <v>4555</v>
      </c>
      <c r="M38" s="132"/>
      <c r="N38" s="132">
        <v>0.88890000000000002</v>
      </c>
      <c r="O38" s="135">
        <v>0.06</v>
      </c>
      <c r="P38" s="135" t="s">
        <v>4520</v>
      </c>
      <c r="Q38" s="132" t="s">
        <v>684</v>
      </c>
      <c r="R38" s="132" t="s">
        <v>4553</v>
      </c>
      <c r="S38" s="132">
        <v>0.91400000000000003</v>
      </c>
      <c r="T38" s="136">
        <v>0.30599999999999999</v>
      </c>
      <c r="U38" s="132"/>
      <c r="V38" s="136">
        <v>4.0000000000000001E-3</v>
      </c>
      <c r="W38" s="136"/>
      <c r="X38" s="132"/>
      <c r="Y38" s="132"/>
      <c r="Z38" s="132"/>
      <c r="AA38" s="135" t="s">
        <v>4554</v>
      </c>
      <c r="AB38" s="132" t="s">
        <v>1104</v>
      </c>
      <c r="AC38" s="132" t="s">
        <v>4545</v>
      </c>
      <c r="AD38" s="132" t="s">
        <v>571</v>
      </c>
      <c r="AE38" s="132" t="s">
        <v>572</v>
      </c>
      <c r="AF38" s="132" t="s">
        <v>4543</v>
      </c>
    </row>
    <row r="39" spans="1:32" hidden="1" x14ac:dyDescent="0.25">
      <c r="A39" s="132" t="s">
        <v>216</v>
      </c>
      <c r="B39" s="132" t="s">
        <v>495</v>
      </c>
      <c r="C39" s="132" t="s">
        <v>4551</v>
      </c>
      <c r="D39" s="133" t="s">
        <v>4552</v>
      </c>
      <c r="E39" s="133" t="s">
        <v>187</v>
      </c>
      <c r="F39" s="132" t="s">
        <v>4550</v>
      </c>
      <c r="G39" s="137" t="s">
        <v>4560</v>
      </c>
      <c r="H39" s="132" t="s">
        <v>67</v>
      </c>
      <c r="I39" s="132"/>
      <c r="J39" s="132"/>
      <c r="K39" s="132"/>
      <c r="L39" s="132" t="s">
        <v>4562</v>
      </c>
      <c r="M39" s="132"/>
      <c r="N39" s="132">
        <v>0.66669999999999996</v>
      </c>
      <c r="O39" s="135">
        <v>0.06</v>
      </c>
      <c r="P39" s="135" t="s">
        <v>4520</v>
      </c>
      <c r="Q39" s="132" t="s">
        <v>684</v>
      </c>
      <c r="R39" s="132" t="s">
        <v>4553</v>
      </c>
      <c r="S39" s="132">
        <v>0.91400000000000003</v>
      </c>
      <c r="T39" s="136">
        <v>0.30599999999999999</v>
      </c>
      <c r="U39" s="132"/>
      <c r="V39" s="136">
        <v>4.0000000000000001E-3</v>
      </c>
      <c r="W39" s="136"/>
      <c r="X39" s="132"/>
      <c r="Y39" s="132"/>
      <c r="Z39" s="132"/>
      <c r="AA39" s="135" t="s">
        <v>4554</v>
      </c>
      <c r="AB39" s="132" t="s">
        <v>1104</v>
      </c>
      <c r="AC39" s="132" t="s">
        <v>4545</v>
      </c>
      <c r="AD39" s="132" t="s">
        <v>571</v>
      </c>
      <c r="AE39" s="132" t="s">
        <v>572</v>
      </c>
      <c r="AF39" s="132" t="s">
        <v>4543</v>
      </c>
    </row>
    <row r="40" spans="1:32" hidden="1" x14ac:dyDescent="0.25">
      <c r="A40" s="132" t="s">
        <v>216</v>
      </c>
      <c r="B40" s="132" t="s">
        <v>495</v>
      </c>
      <c r="C40" s="132" t="s">
        <v>4551</v>
      </c>
      <c r="D40" s="133" t="s">
        <v>4552</v>
      </c>
      <c r="E40" s="133" t="s">
        <v>187</v>
      </c>
      <c r="F40" s="132" t="s">
        <v>4550</v>
      </c>
      <c r="G40" s="137" t="s">
        <v>4560</v>
      </c>
      <c r="H40" s="132" t="s">
        <v>68</v>
      </c>
      <c r="I40" s="132"/>
      <c r="J40" s="132"/>
      <c r="K40" s="132"/>
      <c r="L40" s="132" t="s">
        <v>4562</v>
      </c>
      <c r="M40" s="132"/>
      <c r="N40" s="132">
        <v>0.72219999999999995</v>
      </c>
      <c r="O40" s="135">
        <v>0.06</v>
      </c>
      <c r="P40" s="135" t="s">
        <v>4520</v>
      </c>
      <c r="Q40" s="132" t="s">
        <v>684</v>
      </c>
      <c r="R40" s="132" t="s">
        <v>4553</v>
      </c>
      <c r="S40" s="132">
        <v>0.91400000000000003</v>
      </c>
      <c r="T40" s="136">
        <v>0.30599999999999999</v>
      </c>
      <c r="U40" s="132"/>
      <c r="V40" s="136">
        <v>4.0000000000000001E-3</v>
      </c>
      <c r="W40" s="136"/>
      <c r="X40" s="132"/>
      <c r="Y40" s="132"/>
      <c r="Z40" s="132"/>
      <c r="AA40" s="135" t="s">
        <v>4554</v>
      </c>
      <c r="AB40" s="132" t="s">
        <v>1104</v>
      </c>
      <c r="AC40" s="132" t="s">
        <v>4545</v>
      </c>
      <c r="AD40" s="132" t="s">
        <v>571</v>
      </c>
      <c r="AE40" s="132" t="s">
        <v>572</v>
      </c>
      <c r="AF40" s="132" t="s">
        <v>4543</v>
      </c>
    </row>
    <row r="41" spans="1:32" hidden="1" x14ac:dyDescent="0.25">
      <c r="A41" s="132" t="s">
        <v>216</v>
      </c>
      <c r="B41" s="132" t="s">
        <v>495</v>
      </c>
      <c r="C41" s="132" t="s">
        <v>4551</v>
      </c>
      <c r="D41" s="133" t="s">
        <v>4552</v>
      </c>
      <c r="E41" s="133" t="s">
        <v>187</v>
      </c>
      <c r="F41" s="132" t="s">
        <v>4550</v>
      </c>
      <c r="G41" s="137" t="s">
        <v>4560</v>
      </c>
      <c r="H41" s="132" t="s">
        <v>69</v>
      </c>
      <c r="I41" s="132"/>
      <c r="J41" s="132"/>
      <c r="K41" s="132"/>
      <c r="L41" s="132" t="s">
        <v>4562</v>
      </c>
      <c r="M41" s="132"/>
      <c r="N41" s="132">
        <v>0.77780000000000005</v>
      </c>
      <c r="O41" s="135">
        <v>0.06</v>
      </c>
      <c r="P41" s="135" t="s">
        <v>4520</v>
      </c>
      <c r="Q41" s="132" t="s">
        <v>684</v>
      </c>
      <c r="R41" s="132" t="s">
        <v>4553</v>
      </c>
      <c r="S41" s="132">
        <v>0.91400000000000003</v>
      </c>
      <c r="T41" s="136">
        <v>0.30599999999999999</v>
      </c>
      <c r="U41" s="132"/>
      <c r="V41" s="136">
        <v>4.0000000000000001E-3</v>
      </c>
      <c r="W41" s="136"/>
      <c r="X41" s="132"/>
      <c r="Y41" s="132"/>
      <c r="Z41" s="132"/>
      <c r="AA41" s="135" t="s">
        <v>4554</v>
      </c>
      <c r="AB41" s="132" t="s">
        <v>1104</v>
      </c>
      <c r="AC41" s="132" t="s">
        <v>4545</v>
      </c>
      <c r="AD41" s="132" t="s">
        <v>571</v>
      </c>
      <c r="AE41" s="132" t="s">
        <v>572</v>
      </c>
      <c r="AF41" s="132" t="s">
        <v>4543</v>
      </c>
    </row>
    <row r="42" spans="1:32" hidden="1" x14ac:dyDescent="0.25">
      <c r="A42" s="132" t="s">
        <v>216</v>
      </c>
      <c r="B42" s="132" t="s">
        <v>495</v>
      </c>
      <c r="C42" s="132" t="s">
        <v>4551</v>
      </c>
      <c r="D42" s="133" t="s">
        <v>4552</v>
      </c>
      <c r="E42" s="133" t="s">
        <v>187</v>
      </c>
      <c r="F42" s="132" t="s">
        <v>4550</v>
      </c>
      <c r="G42" s="137" t="s">
        <v>4560</v>
      </c>
      <c r="H42" s="132" t="s">
        <v>70</v>
      </c>
      <c r="I42" s="132"/>
      <c r="J42" s="132"/>
      <c r="K42" s="132"/>
      <c r="L42" s="132" t="s">
        <v>4562</v>
      </c>
      <c r="M42" s="132"/>
      <c r="N42" s="132">
        <v>0.83330000000000004</v>
      </c>
      <c r="O42" s="135">
        <v>0.06</v>
      </c>
      <c r="P42" s="135" t="s">
        <v>4520</v>
      </c>
      <c r="Q42" s="132" t="s">
        <v>684</v>
      </c>
      <c r="R42" s="132" t="s">
        <v>4553</v>
      </c>
      <c r="S42" s="132">
        <v>0.91400000000000003</v>
      </c>
      <c r="T42" s="136">
        <v>0.30599999999999999</v>
      </c>
      <c r="U42" s="132"/>
      <c r="V42" s="136">
        <v>4.0000000000000001E-3</v>
      </c>
      <c r="W42" s="136"/>
      <c r="X42" s="132"/>
      <c r="Y42" s="132"/>
      <c r="Z42" s="132"/>
      <c r="AA42" s="135" t="s">
        <v>4554</v>
      </c>
      <c r="AB42" s="132" t="s">
        <v>1104</v>
      </c>
      <c r="AC42" s="132" t="s">
        <v>4545</v>
      </c>
      <c r="AD42" s="132" t="s">
        <v>571</v>
      </c>
      <c r="AE42" s="132" t="s">
        <v>572</v>
      </c>
      <c r="AF42" s="132" t="s">
        <v>4543</v>
      </c>
    </row>
    <row r="43" spans="1:32" hidden="1" x14ac:dyDescent="0.25">
      <c r="A43" s="132" t="s">
        <v>216</v>
      </c>
      <c r="B43" s="132" t="s">
        <v>495</v>
      </c>
      <c r="C43" s="132" t="s">
        <v>4551</v>
      </c>
      <c r="D43" s="133" t="s">
        <v>4552</v>
      </c>
      <c r="E43" s="133" t="s">
        <v>187</v>
      </c>
      <c r="F43" s="132" t="s">
        <v>4550</v>
      </c>
      <c r="G43" s="137" t="s">
        <v>4560</v>
      </c>
      <c r="H43" s="132" t="s">
        <v>71</v>
      </c>
      <c r="I43" s="132"/>
      <c r="J43" s="132"/>
      <c r="K43" s="132"/>
      <c r="L43" s="132" t="s">
        <v>4562</v>
      </c>
      <c r="M43" s="132"/>
      <c r="N43" s="132">
        <v>0.88890000000000002</v>
      </c>
      <c r="O43" s="135">
        <v>0.06</v>
      </c>
      <c r="P43" s="135" t="s">
        <v>4520</v>
      </c>
      <c r="Q43" s="132" t="s">
        <v>684</v>
      </c>
      <c r="R43" s="132" t="s">
        <v>4553</v>
      </c>
      <c r="S43" s="132">
        <v>0.91400000000000003</v>
      </c>
      <c r="T43" s="136">
        <v>0.30599999999999999</v>
      </c>
      <c r="U43" s="132"/>
      <c r="V43" s="136">
        <v>4.0000000000000001E-3</v>
      </c>
      <c r="W43" s="136"/>
      <c r="X43" s="132"/>
      <c r="Y43" s="132"/>
      <c r="Z43" s="132"/>
      <c r="AA43" s="135" t="s">
        <v>4554</v>
      </c>
      <c r="AB43" s="132" t="s">
        <v>1104</v>
      </c>
      <c r="AC43" s="132" t="s">
        <v>4545</v>
      </c>
      <c r="AD43" s="132" t="s">
        <v>571</v>
      </c>
      <c r="AE43" s="132" t="s">
        <v>572</v>
      </c>
      <c r="AF43" s="132" t="s">
        <v>4543</v>
      </c>
    </row>
    <row r="44" spans="1:32" hidden="1" x14ac:dyDescent="0.25">
      <c r="A44" s="132" t="s">
        <v>216</v>
      </c>
      <c r="B44" s="132" t="s">
        <v>495</v>
      </c>
      <c r="C44" s="132" t="s">
        <v>4558</v>
      </c>
      <c r="D44" s="133" t="s">
        <v>4558</v>
      </c>
      <c r="E44" s="133" t="s">
        <v>218</v>
      </c>
      <c r="F44" s="132" t="s">
        <v>4550</v>
      </c>
      <c r="G44" s="134" t="s">
        <v>4537</v>
      </c>
      <c r="H44" s="132" t="s">
        <v>67</v>
      </c>
      <c r="I44" s="132"/>
      <c r="J44" s="132"/>
      <c r="K44" s="132"/>
      <c r="L44" s="132" t="s">
        <v>278</v>
      </c>
      <c r="M44" s="132"/>
      <c r="N44" s="138">
        <v>0.95830000000000004</v>
      </c>
      <c r="O44" s="135">
        <v>0.03</v>
      </c>
      <c r="P44" s="135" t="s">
        <v>4520</v>
      </c>
      <c r="Q44" s="132" t="s">
        <v>684</v>
      </c>
      <c r="R44" s="132" t="s">
        <v>4553</v>
      </c>
      <c r="S44" s="132">
        <v>0.91400000000000003</v>
      </c>
      <c r="T44" s="136">
        <v>0.17199999999999999</v>
      </c>
      <c r="U44" s="132"/>
      <c r="V44" s="136"/>
      <c r="W44" s="136"/>
      <c r="X44" s="132"/>
      <c r="Y44" s="132"/>
      <c r="Z44" s="132"/>
      <c r="AA44" s="135" t="s">
        <v>4554</v>
      </c>
      <c r="AB44" s="132" t="s">
        <v>1269</v>
      </c>
      <c r="AC44" s="132" t="s">
        <v>4545</v>
      </c>
      <c r="AD44" s="132" t="s">
        <v>497</v>
      </c>
      <c r="AE44" s="132" t="s">
        <v>624</v>
      </c>
      <c r="AF44" s="132" t="s">
        <v>4543</v>
      </c>
    </row>
    <row r="45" spans="1:32" hidden="1" x14ac:dyDescent="0.25">
      <c r="A45" s="132" t="s">
        <v>216</v>
      </c>
      <c r="B45" s="132" t="s">
        <v>495</v>
      </c>
      <c r="C45" s="132" t="s">
        <v>4558</v>
      </c>
      <c r="D45" s="133" t="s">
        <v>4558</v>
      </c>
      <c r="E45" s="133" t="s">
        <v>218</v>
      </c>
      <c r="F45" s="132" t="s">
        <v>4550</v>
      </c>
      <c r="G45" s="134" t="s">
        <v>4537</v>
      </c>
      <c r="H45" s="132" t="s">
        <v>68</v>
      </c>
      <c r="I45" s="132"/>
      <c r="J45" s="132"/>
      <c r="K45" s="132"/>
      <c r="L45" s="132" t="s">
        <v>278</v>
      </c>
      <c r="M45" s="132"/>
      <c r="N45" s="138">
        <v>1.0417000000000001</v>
      </c>
      <c r="O45" s="135">
        <v>0.03</v>
      </c>
      <c r="P45" s="135" t="s">
        <v>4520</v>
      </c>
      <c r="Q45" s="132" t="s">
        <v>684</v>
      </c>
      <c r="R45" s="132" t="s">
        <v>4553</v>
      </c>
      <c r="S45" s="132">
        <v>0.91400000000000003</v>
      </c>
      <c r="T45" s="136">
        <v>0.17199999999999999</v>
      </c>
      <c r="U45" s="132"/>
      <c r="V45" s="136"/>
      <c r="W45" s="136"/>
      <c r="X45" s="132"/>
      <c r="Y45" s="132"/>
      <c r="Z45" s="132"/>
      <c r="AA45" s="135" t="s">
        <v>4554</v>
      </c>
      <c r="AB45" s="132" t="s">
        <v>1269</v>
      </c>
      <c r="AC45" s="132" t="s">
        <v>4545</v>
      </c>
      <c r="AD45" s="132" t="s">
        <v>497</v>
      </c>
      <c r="AE45" s="132" t="s">
        <v>624</v>
      </c>
      <c r="AF45" s="132" t="s">
        <v>4543</v>
      </c>
    </row>
    <row r="46" spans="1:32" hidden="1" x14ac:dyDescent="0.25">
      <c r="A46" s="132" t="s">
        <v>216</v>
      </c>
      <c r="B46" s="132" t="s">
        <v>495</v>
      </c>
      <c r="C46" s="132" t="s">
        <v>4558</v>
      </c>
      <c r="D46" s="133" t="s">
        <v>4558</v>
      </c>
      <c r="E46" s="133" t="s">
        <v>218</v>
      </c>
      <c r="F46" s="132" t="s">
        <v>4550</v>
      </c>
      <c r="G46" s="134" t="s">
        <v>4537</v>
      </c>
      <c r="H46" s="132" t="s">
        <v>69</v>
      </c>
      <c r="I46" s="132"/>
      <c r="J46" s="132"/>
      <c r="K46" s="132"/>
      <c r="L46" s="132" t="s">
        <v>278</v>
      </c>
      <c r="M46" s="132"/>
      <c r="N46" s="138">
        <v>1.125</v>
      </c>
      <c r="O46" s="135">
        <v>0.03</v>
      </c>
      <c r="P46" s="135" t="s">
        <v>4520</v>
      </c>
      <c r="Q46" s="132" t="s">
        <v>684</v>
      </c>
      <c r="R46" s="132" t="s">
        <v>4553</v>
      </c>
      <c r="S46" s="132">
        <v>0.91400000000000003</v>
      </c>
      <c r="T46" s="136">
        <v>0.17199999999999999</v>
      </c>
      <c r="U46" s="132"/>
      <c r="V46" s="136"/>
      <c r="W46" s="136"/>
      <c r="X46" s="132"/>
      <c r="Y46" s="132"/>
      <c r="Z46" s="132"/>
      <c r="AA46" s="135" t="s">
        <v>4554</v>
      </c>
      <c r="AB46" s="132" t="s">
        <v>1269</v>
      </c>
      <c r="AC46" s="132" t="s">
        <v>4545</v>
      </c>
      <c r="AD46" s="132" t="s">
        <v>497</v>
      </c>
      <c r="AE46" s="132" t="s">
        <v>624</v>
      </c>
      <c r="AF46" s="132" t="s">
        <v>4543</v>
      </c>
    </row>
    <row r="47" spans="1:32" hidden="1" x14ac:dyDescent="0.25">
      <c r="A47" s="132" t="s">
        <v>216</v>
      </c>
      <c r="B47" s="132" t="s">
        <v>495</v>
      </c>
      <c r="C47" s="132" t="s">
        <v>4558</v>
      </c>
      <c r="D47" s="133" t="s">
        <v>4558</v>
      </c>
      <c r="E47" s="133" t="s">
        <v>218</v>
      </c>
      <c r="F47" s="132" t="s">
        <v>4550</v>
      </c>
      <c r="G47" s="134" t="s">
        <v>4537</v>
      </c>
      <c r="H47" s="132" t="s">
        <v>70</v>
      </c>
      <c r="I47" s="132"/>
      <c r="J47" s="132"/>
      <c r="K47" s="132"/>
      <c r="L47" s="132" t="s">
        <v>278</v>
      </c>
      <c r="M47" s="132"/>
      <c r="N47" s="138">
        <v>1.2082999999999999</v>
      </c>
      <c r="O47" s="135">
        <v>0.03</v>
      </c>
      <c r="P47" s="135" t="s">
        <v>4520</v>
      </c>
      <c r="Q47" s="132" t="s">
        <v>684</v>
      </c>
      <c r="R47" s="132" t="s">
        <v>4553</v>
      </c>
      <c r="S47" s="132">
        <v>0.91400000000000003</v>
      </c>
      <c r="T47" s="136">
        <v>0.17199999999999999</v>
      </c>
      <c r="U47" s="132"/>
      <c r="V47" s="136"/>
      <c r="W47" s="136"/>
      <c r="X47" s="132"/>
      <c r="Y47" s="132"/>
      <c r="Z47" s="132"/>
      <c r="AA47" s="135" t="s">
        <v>4554</v>
      </c>
      <c r="AB47" s="132" t="s">
        <v>1269</v>
      </c>
      <c r="AC47" s="132" t="s">
        <v>4545</v>
      </c>
      <c r="AD47" s="132" t="s">
        <v>497</v>
      </c>
      <c r="AE47" s="132" t="s">
        <v>624</v>
      </c>
      <c r="AF47" s="132" t="s">
        <v>4543</v>
      </c>
    </row>
    <row r="48" spans="1:32" hidden="1" x14ac:dyDescent="0.25">
      <c r="A48" s="132" t="s">
        <v>216</v>
      </c>
      <c r="B48" s="132" t="s">
        <v>495</v>
      </c>
      <c r="C48" s="132" t="s">
        <v>4558</v>
      </c>
      <c r="D48" s="133" t="s">
        <v>4558</v>
      </c>
      <c r="E48" s="133" t="s">
        <v>218</v>
      </c>
      <c r="F48" s="132" t="s">
        <v>4550</v>
      </c>
      <c r="G48" s="134" t="s">
        <v>4537</v>
      </c>
      <c r="H48" s="132" t="s">
        <v>71</v>
      </c>
      <c r="I48" s="132"/>
      <c r="J48" s="132"/>
      <c r="K48" s="132"/>
      <c r="L48" s="132" t="s">
        <v>278</v>
      </c>
      <c r="M48" s="132"/>
      <c r="N48" s="138">
        <v>1.2917000000000001</v>
      </c>
      <c r="O48" s="135">
        <v>0.03</v>
      </c>
      <c r="P48" s="135" t="s">
        <v>4520</v>
      </c>
      <c r="Q48" s="132" t="s">
        <v>684</v>
      </c>
      <c r="R48" s="132" t="s">
        <v>4553</v>
      </c>
      <c r="S48" s="132">
        <v>0.91400000000000003</v>
      </c>
      <c r="T48" s="136">
        <v>0.17199999999999999</v>
      </c>
      <c r="U48" s="132"/>
      <c r="V48" s="136"/>
      <c r="W48" s="136"/>
      <c r="X48" s="132"/>
      <c r="Y48" s="132"/>
      <c r="Z48" s="132"/>
      <c r="AA48" s="135" t="s">
        <v>4554</v>
      </c>
      <c r="AB48" s="132" t="s">
        <v>1269</v>
      </c>
      <c r="AC48" s="132" t="s">
        <v>4545</v>
      </c>
      <c r="AD48" s="132" t="s">
        <v>497</v>
      </c>
      <c r="AE48" s="132" t="s">
        <v>624</v>
      </c>
      <c r="AF48" s="132" t="s">
        <v>4543</v>
      </c>
    </row>
    <row r="49" spans="1:32 16291:16307" hidden="1" x14ac:dyDescent="0.25">
      <c r="A49" s="132" t="s">
        <v>216</v>
      </c>
      <c r="B49" s="132" t="s">
        <v>495</v>
      </c>
      <c r="C49" s="132" t="s">
        <v>4558</v>
      </c>
      <c r="D49" s="133" t="s">
        <v>4558</v>
      </c>
      <c r="E49" s="133" t="s">
        <v>218</v>
      </c>
      <c r="F49" s="132" t="s">
        <v>4550</v>
      </c>
      <c r="G49" s="137" t="s">
        <v>4560</v>
      </c>
      <c r="H49" s="132" t="s">
        <v>67</v>
      </c>
      <c r="I49" s="132"/>
      <c r="J49" s="132"/>
      <c r="K49" s="132"/>
      <c r="L49" s="132" t="s">
        <v>4562</v>
      </c>
      <c r="M49" s="132"/>
      <c r="N49" s="138">
        <v>0.95830000000000004</v>
      </c>
      <c r="O49" s="135">
        <v>0.03</v>
      </c>
      <c r="P49" s="135" t="s">
        <v>4520</v>
      </c>
      <c r="Q49" s="132" t="s">
        <v>684</v>
      </c>
      <c r="R49" s="132" t="s">
        <v>4553</v>
      </c>
      <c r="S49" s="132">
        <v>0.91400000000000003</v>
      </c>
      <c r="T49" s="136">
        <v>0.17199999999999999</v>
      </c>
      <c r="U49" s="132"/>
      <c r="V49" s="136"/>
      <c r="W49" s="136"/>
      <c r="X49" s="132"/>
      <c r="Y49" s="132"/>
      <c r="Z49" s="132"/>
      <c r="AA49" s="135" t="s">
        <v>4554</v>
      </c>
      <c r="AB49" s="132" t="s">
        <v>1269</v>
      </c>
      <c r="AC49" s="132" t="s">
        <v>4545</v>
      </c>
      <c r="AD49" s="132" t="s">
        <v>497</v>
      </c>
      <c r="AE49" s="132" t="s">
        <v>624</v>
      </c>
      <c r="AF49" s="132" t="s">
        <v>4543</v>
      </c>
    </row>
    <row r="50" spans="1:32 16291:16307" hidden="1" x14ac:dyDescent="0.25">
      <c r="A50" s="132" t="s">
        <v>216</v>
      </c>
      <c r="B50" s="132" t="s">
        <v>495</v>
      </c>
      <c r="C50" s="132" t="s">
        <v>4558</v>
      </c>
      <c r="D50" s="133" t="s">
        <v>4558</v>
      </c>
      <c r="E50" s="133" t="s">
        <v>218</v>
      </c>
      <c r="F50" s="132" t="s">
        <v>4550</v>
      </c>
      <c r="G50" s="137" t="s">
        <v>4560</v>
      </c>
      <c r="H50" s="132" t="s">
        <v>68</v>
      </c>
      <c r="I50" s="132"/>
      <c r="J50" s="132"/>
      <c r="K50" s="132"/>
      <c r="L50" s="132" t="s">
        <v>4562</v>
      </c>
      <c r="M50" s="132"/>
      <c r="N50" s="138">
        <v>1.0417000000000001</v>
      </c>
      <c r="O50" s="135">
        <v>0.03</v>
      </c>
      <c r="P50" s="135" t="s">
        <v>4520</v>
      </c>
      <c r="Q50" s="132" t="s">
        <v>684</v>
      </c>
      <c r="R50" s="132" t="s">
        <v>4553</v>
      </c>
      <c r="S50" s="132">
        <v>0.91400000000000003</v>
      </c>
      <c r="T50" s="136">
        <v>0.17199999999999999</v>
      </c>
      <c r="U50" s="132"/>
      <c r="V50" s="136"/>
      <c r="W50" s="136"/>
      <c r="X50" s="132"/>
      <c r="Y50" s="132"/>
      <c r="Z50" s="132"/>
      <c r="AA50" s="135" t="s">
        <v>4554</v>
      </c>
      <c r="AB50" s="132" t="s">
        <v>1269</v>
      </c>
      <c r="AC50" s="132" t="s">
        <v>4545</v>
      </c>
      <c r="AD50" s="132" t="s">
        <v>497</v>
      </c>
      <c r="AE50" s="132" t="s">
        <v>624</v>
      </c>
      <c r="AF50" s="132" t="s">
        <v>4543</v>
      </c>
    </row>
    <row r="51" spans="1:32 16291:16307" hidden="1" x14ac:dyDescent="0.25">
      <c r="A51" s="132" t="s">
        <v>216</v>
      </c>
      <c r="B51" s="132" t="s">
        <v>495</v>
      </c>
      <c r="C51" s="132" t="s">
        <v>4558</v>
      </c>
      <c r="D51" s="133" t="s">
        <v>4558</v>
      </c>
      <c r="E51" s="133" t="s">
        <v>218</v>
      </c>
      <c r="F51" s="132" t="s">
        <v>4550</v>
      </c>
      <c r="G51" s="137" t="s">
        <v>4560</v>
      </c>
      <c r="H51" s="132" t="s">
        <v>69</v>
      </c>
      <c r="I51" s="132"/>
      <c r="J51" s="132"/>
      <c r="K51" s="132"/>
      <c r="L51" s="132" t="s">
        <v>4562</v>
      </c>
      <c r="M51" s="132"/>
      <c r="N51" s="138">
        <v>1.125</v>
      </c>
      <c r="O51" s="135">
        <v>0.03</v>
      </c>
      <c r="P51" s="135" t="s">
        <v>4520</v>
      </c>
      <c r="Q51" s="132" t="s">
        <v>684</v>
      </c>
      <c r="R51" s="132" t="s">
        <v>4553</v>
      </c>
      <c r="S51" s="132">
        <v>0.91400000000000003</v>
      </c>
      <c r="T51" s="136">
        <v>0.17199999999999999</v>
      </c>
      <c r="U51" s="132"/>
      <c r="V51" s="136"/>
      <c r="W51" s="136"/>
      <c r="X51" s="132"/>
      <c r="Y51" s="132"/>
      <c r="Z51" s="132"/>
      <c r="AA51" s="135" t="s">
        <v>4554</v>
      </c>
      <c r="AB51" s="132" t="s">
        <v>1269</v>
      </c>
      <c r="AC51" s="132" t="s">
        <v>4545</v>
      </c>
      <c r="AD51" s="132" t="s">
        <v>497</v>
      </c>
      <c r="AE51" s="132" t="s">
        <v>624</v>
      </c>
      <c r="AF51" s="132" t="s">
        <v>4543</v>
      </c>
    </row>
    <row r="52" spans="1:32 16291:16307" hidden="1" x14ac:dyDescent="0.25">
      <c r="A52" s="132" t="s">
        <v>216</v>
      </c>
      <c r="B52" s="132" t="s">
        <v>495</v>
      </c>
      <c r="C52" s="132" t="s">
        <v>4558</v>
      </c>
      <c r="D52" s="133" t="s">
        <v>4558</v>
      </c>
      <c r="E52" s="133" t="s">
        <v>218</v>
      </c>
      <c r="F52" s="132" t="s">
        <v>4550</v>
      </c>
      <c r="G52" s="137" t="s">
        <v>4560</v>
      </c>
      <c r="H52" s="132" t="s">
        <v>70</v>
      </c>
      <c r="I52" s="132"/>
      <c r="J52" s="132"/>
      <c r="K52" s="132"/>
      <c r="L52" s="132" t="s">
        <v>4562</v>
      </c>
      <c r="M52" s="132"/>
      <c r="N52" s="138">
        <v>1.2082999999999999</v>
      </c>
      <c r="O52" s="135">
        <v>0.03</v>
      </c>
      <c r="P52" s="135" t="s">
        <v>4520</v>
      </c>
      <c r="Q52" s="132" t="s">
        <v>684</v>
      </c>
      <c r="R52" s="132" t="s">
        <v>4553</v>
      </c>
      <c r="S52" s="132">
        <v>0.91400000000000003</v>
      </c>
      <c r="T52" s="136">
        <v>0.17199999999999999</v>
      </c>
      <c r="U52" s="132"/>
      <c r="V52" s="136"/>
      <c r="W52" s="136"/>
      <c r="X52" s="132"/>
      <c r="Y52" s="132"/>
      <c r="Z52" s="132"/>
      <c r="AA52" s="135" t="s">
        <v>4554</v>
      </c>
      <c r="AB52" s="132" t="s">
        <v>1269</v>
      </c>
      <c r="AC52" s="132" t="s">
        <v>4545</v>
      </c>
      <c r="AD52" s="132" t="s">
        <v>497</v>
      </c>
      <c r="AE52" s="132" t="s">
        <v>624</v>
      </c>
      <c r="AF52" s="132" t="s">
        <v>4543</v>
      </c>
    </row>
    <row r="53" spans="1:32 16291:16307" hidden="1" x14ac:dyDescent="0.25">
      <c r="A53" s="132" t="s">
        <v>216</v>
      </c>
      <c r="B53" s="132" t="s">
        <v>495</v>
      </c>
      <c r="C53" s="132" t="s">
        <v>4558</v>
      </c>
      <c r="D53" s="133" t="s">
        <v>4558</v>
      </c>
      <c r="E53" s="133" t="s">
        <v>218</v>
      </c>
      <c r="F53" s="132" t="s">
        <v>4550</v>
      </c>
      <c r="G53" s="137" t="s">
        <v>4560</v>
      </c>
      <c r="H53" s="132" t="s">
        <v>71</v>
      </c>
      <c r="I53" s="132"/>
      <c r="J53" s="132"/>
      <c r="K53" s="132"/>
      <c r="L53" s="132" t="s">
        <v>4562</v>
      </c>
      <c r="M53" s="132"/>
      <c r="N53" s="138">
        <v>1.2917000000000001</v>
      </c>
      <c r="O53" s="135">
        <v>0.03</v>
      </c>
      <c r="P53" s="135" t="s">
        <v>4520</v>
      </c>
      <c r="Q53" s="132" t="s">
        <v>684</v>
      </c>
      <c r="R53" s="132" t="s">
        <v>4553</v>
      </c>
      <c r="S53" s="132">
        <v>0.91400000000000003</v>
      </c>
      <c r="T53" s="136">
        <v>0.17199999999999999</v>
      </c>
      <c r="U53" s="132"/>
      <c r="V53" s="136"/>
      <c r="W53" s="136"/>
      <c r="X53" s="132"/>
      <c r="Y53" s="132"/>
      <c r="Z53" s="132"/>
      <c r="AA53" s="135" t="s">
        <v>4554</v>
      </c>
      <c r="AB53" s="132" t="s">
        <v>1269</v>
      </c>
      <c r="AC53" s="132" t="s">
        <v>4545</v>
      </c>
      <c r="AD53" s="132" t="s">
        <v>497</v>
      </c>
      <c r="AE53" s="132" t="s">
        <v>624</v>
      </c>
      <c r="AF53" s="132" t="s">
        <v>4543</v>
      </c>
    </row>
    <row r="54" spans="1:32 16291:16307" hidden="1" x14ac:dyDescent="0.2">
      <c r="A54" s="132" t="s">
        <v>305</v>
      </c>
      <c r="B54" s="132" t="s">
        <v>975</v>
      </c>
      <c r="C54" s="132" t="s">
        <v>4563</v>
      </c>
      <c r="D54" s="133" t="s">
        <v>4563</v>
      </c>
      <c r="E54" s="133" t="s">
        <v>218</v>
      </c>
      <c r="F54" s="133" t="s">
        <v>4564</v>
      </c>
      <c r="G54" s="132" t="s">
        <v>4564</v>
      </c>
      <c r="H54" s="132"/>
      <c r="I54" s="132"/>
      <c r="J54" s="132"/>
      <c r="K54" s="132"/>
      <c r="L54" s="132"/>
      <c r="M54" s="132"/>
      <c r="N54" s="145">
        <v>1</v>
      </c>
      <c r="O54" s="135">
        <v>0</v>
      </c>
      <c r="P54" s="132"/>
      <c r="Q54" s="132" t="s">
        <v>576</v>
      </c>
      <c r="R54" s="132" t="s">
        <v>576</v>
      </c>
      <c r="S54" s="132"/>
      <c r="T54" s="136">
        <v>0.4</v>
      </c>
      <c r="U54" s="136"/>
      <c r="V54" s="136"/>
      <c r="W54" s="132"/>
      <c r="X54" s="132"/>
      <c r="Y54" s="132"/>
      <c r="Z54" s="135"/>
      <c r="AA54" s="132"/>
      <c r="AB54" s="132"/>
      <c r="AC54" s="132"/>
      <c r="AD54" s="132"/>
      <c r="AE54" s="146"/>
      <c r="AF54" s="132"/>
      <c r="XBO54" s="130"/>
      <c r="XCC54" s="16"/>
      <c r="XCD54" s="130"/>
      <c r="XCE54" s="130"/>
    </row>
    <row r="55" spans="1:32 16291:16307" hidden="1" x14ac:dyDescent="0.25">
      <c r="A55" s="125" t="s">
        <v>216</v>
      </c>
      <c r="B55" s="125" t="s">
        <v>495</v>
      </c>
      <c r="C55" s="124" t="s">
        <v>4566</v>
      </c>
      <c r="D55" s="124" t="s">
        <v>4567</v>
      </c>
      <c r="E55" s="124" t="s">
        <v>187</v>
      </c>
      <c r="F55" s="124" t="s">
        <v>4564</v>
      </c>
      <c r="G55" s="124" t="s">
        <v>4537</v>
      </c>
      <c r="H55" s="124" t="s">
        <v>67</v>
      </c>
      <c r="I55" s="124"/>
      <c r="J55" s="124"/>
      <c r="K55" s="124"/>
      <c r="L55" s="124" t="s">
        <v>4555</v>
      </c>
      <c r="M55" s="140"/>
      <c r="N55" s="141">
        <v>0.66669999999999996</v>
      </c>
      <c r="O55" s="142">
        <v>0.06</v>
      </c>
      <c r="P55" s="126" t="s">
        <v>4520</v>
      </c>
      <c r="Q55" s="124" t="s">
        <v>684</v>
      </c>
      <c r="R55" s="124" t="s">
        <v>4553</v>
      </c>
      <c r="S55" s="141">
        <v>0.91439999999999999</v>
      </c>
      <c r="T55" s="141">
        <v>0.33560000000000001</v>
      </c>
      <c r="U55" s="139"/>
      <c r="V55" s="124"/>
      <c r="W55" s="139"/>
      <c r="X55" s="139"/>
      <c r="Y55" s="139"/>
      <c r="Z55" s="139"/>
      <c r="AA55" s="126" t="s">
        <v>4554</v>
      </c>
      <c r="AB55" s="125" t="s">
        <v>1269</v>
      </c>
      <c r="AC55" s="124" t="s">
        <v>4568</v>
      </c>
      <c r="AD55" s="124" t="s">
        <v>497</v>
      </c>
      <c r="AE55" s="125" t="s">
        <v>624</v>
      </c>
      <c r="AF55" s="124" t="s">
        <v>4543</v>
      </c>
    </row>
    <row r="56" spans="1:32 16291:16307" hidden="1" x14ac:dyDescent="0.25">
      <c r="A56" s="125" t="s">
        <v>216</v>
      </c>
      <c r="B56" s="125" t="s">
        <v>495</v>
      </c>
      <c r="C56" s="124" t="s">
        <v>4566</v>
      </c>
      <c r="D56" s="124" t="s">
        <v>4567</v>
      </c>
      <c r="E56" s="124" t="s">
        <v>187</v>
      </c>
      <c r="F56" s="124" t="s">
        <v>4564</v>
      </c>
      <c r="G56" s="124" t="s">
        <v>4537</v>
      </c>
      <c r="H56" s="124" t="s">
        <v>68</v>
      </c>
      <c r="I56" s="124"/>
      <c r="J56" s="124"/>
      <c r="K56" s="124"/>
      <c r="L56" s="124" t="s">
        <v>4555</v>
      </c>
      <c r="M56" s="140"/>
      <c r="N56" s="141">
        <v>0.72219999999999995</v>
      </c>
      <c r="O56" s="142">
        <v>0.06</v>
      </c>
      <c r="P56" s="126" t="s">
        <v>4520</v>
      </c>
      <c r="Q56" s="124" t="s">
        <v>684</v>
      </c>
      <c r="R56" s="124" t="s">
        <v>4553</v>
      </c>
      <c r="S56" s="141">
        <v>0.91439999999999999</v>
      </c>
      <c r="T56" s="141">
        <v>0.33560000000000001</v>
      </c>
      <c r="U56" s="139"/>
      <c r="V56" s="124"/>
      <c r="W56" s="139"/>
      <c r="X56" s="139"/>
      <c r="Y56" s="139"/>
      <c r="Z56" s="139"/>
      <c r="AA56" s="126" t="s">
        <v>4554</v>
      </c>
      <c r="AB56" s="125" t="s">
        <v>1269</v>
      </c>
      <c r="AC56" s="124" t="s">
        <v>4568</v>
      </c>
      <c r="AD56" s="124" t="s">
        <v>497</v>
      </c>
      <c r="AE56" s="125" t="s">
        <v>624</v>
      </c>
      <c r="AF56" s="124" t="s">
        <v>4543</v>
      </c>
    </row>
    <row r="57" spans="1:32 16291:16307" hidden="1" x14ac:dyDescent="0.25">
      <c r="A57" s="125" t="s">
        <v>216</v>
      </c>
      <c r="B57" s="125" t="s">
        <v>495</v>
      </c>
      <c r="C57" s="124" t="s">
        <v>4566</v>
      </c>
      <c r="D57" s="124" t="s">
        <v>4567</v>
      </c>
      <c r="E57" s="124" t="s">
        <v>187</v>
      </c>
      <c r="F57" s="124" t="s">
        <v>4564</v>
      </c>
      <c r="G57" s="124" t="s">
        <v>4537</v>
      </c>
      <c r="H57" s="124" t="s">
        <v>69</v>
      </c>
      <c r="I57" s="124"/>
      <c r="J57" s="124"/>
      <c r="K57" s="124"/>
      <c r="L57" s="124" t="s">
        <v>4555</v>
      </c>
      <c r="M57" s="140"/>
      <c r="N57" s="141">
        <v>0.77780000000000005</v>
      </c>
      <c r="O57" s="142">
        <v>0.06</v>
      </c>
      <c r="P57" s="126" t="s">
        <v>4520</v>
      </c>
      <c r="Q57" s="124" t="s">
        <v>684</v>
      </c>
      <c r="R57" s="124" t="s">
        <v>4553</v>
      </c>
      <c r="S57" s="141">
        <v>0.91439999999999999</v>
      </c>
      <c r="T57" s="141">
        <v>0.33560000000000001</v>
      </c>
      <c r="U57" s="139"/>
      <c r="V57" s="124"/>
      <c r="W57" s="139"/>
      <c r="X57" s="139"/>
      <c r="Y57" s="139"/>
      <c r="Z57" s="139"/>
      <c r="AA57" s="126" t="s">
        <v>4554</v>
      </c>
      <c r="AB57" s="125" t="s">
        <v>1269</v>
      </c>
      <c r="AC57" s="124" t="s">
        <v>4568</v>
      </c>
      <c r="AD57" s="124" t="s">
        <v>497</v>
      </c>
      <c r="AE57" s="125" t="s">
        <v>624</v>
      </c>
      <c r="AF57" s="124" t="s">
        <v>4543</v>
      </c>
    </row>
    <row r="58" spans="1:32 16291:16307" hidden="1" x14ac:dyDescent="0.25">
      <c r="A58" s="125" t="s">
        <v>216</v>
      </c>
      <c r="B58" s="125" t="s">
        <v>495</v>
      </c>
      <c r="C58" s="124" t="s">
        <v>4566</v>
      </c>
      <c r="D58" s="124" t="s">
        <v>4567</v>
      </c>
      <c r="E58" s="124" t="s">
        <v>187</v>
      </c>
      <c r="F58" s="124" t="s">
        <v>4564</v>
      </c>
      <c r="G58" s="124" t="s">
        <v>4537</v>
      </c>
      <c r="H58" s="124" t="s">
        <v>70</v>
      </c>
      <c r="I58" s="124"/>
      <c r="J58" s="124"/>
      <c r="K58" s="124"/>
      <c r="L58" s="124" t="s">
        <v>4555</v>
      </c>
      <c r="M58" s="140"/>
      <c r="N58" s="141">
        <v>0.83330000000000004</v>
      </c>
      <c r="O58" s="142">
        <v>0.06</v>
      </c>
      <c r="P58" s="126" t="s">
        <v>4520</v>
      </c>
      <c r="Q58" s="124" t="s">
        <v>684</v>
      </c>
      <c r="R58" s="124" t="s">
        <v>4553</v>
      </c>
      <c r="S58" s="141">
        <v>0.91439999999999999</v>
      </c>
      <c r="T58" s="141">
        <v>0.33560000000000001</v>
      </c>
      <c r="U58" s="139"/>
      <c r="V58" s="124"/>
      <c r="W58" s="139"/>
      <c r="X58" s="139"/>
      <c r="Y58" s="139"/>
      <c r="Z58" s="139"/>
      <c r="AA58" s="126" t="s">
        <v>4554</v>
      </c>
      <c r="AB58" s="125" t="s">
        <v>1269</v>
      </c>
      <c r="AC58" s="124" t="s">
        <v>4568</v>
      </c>
      <c r="AD58" s="124" t="s">
        <v>497</v>
      </c>
      <c r="AE58" s="125" t="s">
        <v>624</v>
      </c>
      <c r="AF58" s="124" t="s">
        <v>4543</v>
      </c>
    </row>
    <row r="59" spans="1:32 16291:16307" hidden="1" x14ac:dyDescent="0.25">
      <c r="A59" s="125" t="s">
        <v>216</v>
      </c>
      <c r="B59" s="125" t="s">
        <v>495</v>
      </c>
      <c r="C59" s="124" t="s">
        <v>4566</v>
      </c>
      <c r="D59" s="124" t="s">
        <v>4567</v>
      </c>
      <c r="E59" s="124" t="s">
        <v>187</v>
      </c>
      <c r="F59" s="124" t="s">
        <v>4564</v>
      </c>
      <c r="G59" s="124" t="s">
        <v>4537</v>
      </c>
      <c r="H59" s="124" t="s">
        <v>71</v>
      </c>
      <c r="I59" s="124"/>
      <c r="J59" s="124"/>
      <c r="K59" s="124"/>
      <c r="L59" s="124" t="s">
        <v>4555</v>
      </c>
      <c r="M59" s="140"/>
      <c r="N59" s="141">
        <v>0.88890000000000002</v>
      </c>
      <c r="O59" s="142">
        <v>0.06</v>
      </c>
      <c r="P59" s="126" t="s">
        <v>4520</v>
      </c>
      <c r="Q59" s="124" t="s">
        <v>684</v>
      </c>
      <c r="R59" s="124" t="s">
        <v>4553</v>
      </c>
      <c r="S59" s="141">
        <v>0.91439999999999999</v>
      </c>
      <c r="T59" s="141">
        <v>0.33560000000000001</v>
      </c>
      <c r="U59" s="139"/>
      <c r="V59" s="124"/>
      <c r="W59" s="139"/>
      <c r="X59" s="139"/>
      <c r="Y59" s="139"/>
      <c r="Z59" s="139"/>
      <c r="AA59" s="126" t="s">
        <v>4554</v>
      </c>
      <c r="AB59" s="125" t="s">
        <v>1269</v>
      </c>
      <c r="AC59" s="124" t="s">
        <v>4568</v>
      </c>
      <c r="AD59" s="124" t="s">
        <v>497</v>
      </c>
      <c r="AE59" s="125" t="s">
        <v>624</v>
      </c>
      <c r="AF59" s="124" t="s">
        <v>4543</v>
      </c>
    </row>
    <row r="60" spans="1:32 16291:16307" hidden="1" x14ac:dyDescent="0.25">
      <c r="A60" s="125" t="s">
        <v>216</v>
      </c>
      <c r="B60" s="125" t="s">
        <v>495</v>
      </c>
      <c r="C60" s="124" t="s">
        <v>4566</v>
      </c>
      <c r="D60" s="124" t="s">
        <v>4567</v>
      </c>
      <c r="E60" s="124" t="s">
        <v>187</v>
      </c>
      <c r="F60" s="124" t="s">
        <v>4564</v>
      </c>
      <c r="G60" s="124" t="s">
        <v>4560</v>
      </c>
      <c r="H60" s="124" t="s">
        <v>67</v>
      </c>
      <c r="I60" s="124"/>
      <c r="J60" s="124"/>
      <c r="K60" s="124"/>
      <c r="L60" s="124" t="s">
        <v>4562</v>
      </c>
      <c r="M60" s="140"/>
      <c r="N60" s="141">
        <v>0.66669999999999996</v>
      </c>
      <c r="O60" s="142">
        <v>0.06</v>
      </c>
      <c r="P60" s="126" t="s">
        <v>4520</v>
      </c>
      <c r="Q60" s="124" t="s">
        <v>684</v>
      </c>
      <c r="R60" s="124" t="s">
        <v>4553</v>
      </c>
      <c r="S60" s="141">
        <v>0.91439999999999999</v>
      </c>
      <c r="T60" s="141">
        <v>0.33560000000000001</v>
      </c>
      <c r="U60" s="139"/>
      <c r="V60" s="124"/>
      <c r="W60" s="139"/>
      <c r="X60" s="139"/>
      <c r="Y60" s="139"/>
      <c r="Z60" s="139"/>
      <c r="AA60" s="126" t="s">
        <v>4554</v>
      </c>
      <c r="AB60" s="125" t="s">
        <v>1269</v>
      </c>
      <c r="AC60" s="124" t="s">
        <v>4568</v>
      </c>
      <c r="AD60" s="124" t="s">
        <v>497</v>
      </c>
      <c r="AE60" s="125" t="s">
        <v>624</v>
      </c>
      <c r="AF60" s="124" t="s">
        <v>4543</v>
      </c>
    </row>
    <row r="61" spans="1:32 16291:16307" hidden="1" x14ac:dyDescent="0.25">
      <c r="A61" s="125" t="s">
        <v>216</v>
      </c>
      <c r="B61" s="125" t="s">
        <v>495</v>
      </c>
      <c r="C61" s="124" t="s">
        <v>4566</v>
      </c>
      <c r="D61" s="124" t="s">
        <v>4567</v>
      </c>
      <c r="E61" s="124" t="s">
        <v>187</v>
      </c>
      <c r="F61" s="124" t="s">
        <v>4564</v>
      </c>
      <c r="G61" s="124" t="s">
        <v>4560</v>
      </c>
      <c r="H61" s="124" t="s">
        <v>68</v>
      </c>
      <c r="I61" s="124"/>
      <c r="J61" s="124"/>
      <c r="K61" s="124"/>
      <c r="L61" s="124" t="s">
        <v>4562</v>
      </c>
      <c r="M61" s="140"/>
      <c r="N61" s="141">
        <v>0.72219999999999995</v>
      </c>
      <c r="O61" s="142">
        <v>0.06</v>
      </c>
      <c r="P61" s="126" t="s">
        <v>4520</v>
      </c>
      <c r="Q61" s="124" t="s">
        <v>684</v>
      </c>
      <c r="R61" s="124" t="s">
        <v>4553</v>
      </c>
      <c r="S61" s="141">
        <v>0.91439999999999999</v>
      </c>
      <c r="T61" s="141">
        <v>0.33560000000000001</v>
      </c>
      <c r="U61" s="139"/>
      <c r="V61" s="124"/>
      <c r="W61" s="139"/>
      <c r="X61" s="139"/>
      <c r="Y61" s="139"/>
      <c r="Z61" s="139"/>
      <c r="AA61" s="126" t="s">
        <v>4554</v>
      </c>
      <c r="AB61" s="125" t="s">
        <v>1269</v>
      </c>
      <c r="AC61" s="124" t="s">
        <v>4568</v>
      </c>
      <c r="AD61" s="124" t="s">
        <v>497</v>
      </c>
      <c r="AE61" s="125" t="s">
        <v>624</v>
      </c>
      <c r="AF61" s="124" t="s">
        <v>4543</v>
      </c>
    </row>
    <row r="62" spans="1:32 16291:16307" hidden="1" x14ac:dyDescent="0.25">
      <c r="A62" s="125" t="s">
        <v>216</v>
      </c>
      <c r="B62" s="125" t="s">
        <v>495</v>
      </c>
      <c r="C62" s="124" t="s">
        <v>4566</v>
      </c>
      <c r="D62" s="124" t="s">
        <v>4567</v>
      </c>
      <c r="E62" s="124" t="s">
        <v>187</v>
      </c>
      <c r="F62" s="124" t="s">
        <v>4564</v>
      </c>
      <c r="G62" s="124" t="s">
        <v>4560</v>
      </c>
      <c r="H62" s="124" t="s">
        <v>69</v>
      </c>
      <c r="I62" s="124"/>
      <c r="J62" s="124"/>
      <c r="K62" s="124"/>
      <c r="L62" s="124" t="s">
        <v>4562</v>
      </c>
      <c r="M62" s="140"/>
      <c r="N62" s="141">
        <v>0.77780000000000005</v>
      </c>
      <c r="O62" s="142">
        <v>0.06</v>
      </c>
      <c r="P62" s="126" t="s">
        <v>4520</v>
      </c>
      <c r="Q62" s="124" t="s">
        <v>684</v>
      </c>
      <c r="R62" s="124" t="s">
        <v>4553</v>
      </c>
      <c r="S62" s="141">
        <v>0.91439999999999999</v>
      </c>
      <c r="T62" s="141">
        <v>0.33560000000000001</v>
      </c>
      <c r="U62" s="139"/>
      <c r="V62" s="124"/>
      <c r="W62" s="139"/>
      <c r="X62" s="139"/>
      <c r="Y62" s="139"/>
      <c r="Z62" s="139"/>
      <c r="AA62" s="126" t="s">
        <v>4554</v>
      </c>
      <c r="AB62" s="125" t="s">
        <v>1269</v>
      </c>
      <c r="AC62" s="124" t="s">
        <v>4568</v>
      </c>
      <c r="AD62" s="124" t="s">
        <v>497</v>
      </c>
      <c r="AE62" s="125" t="s">
        <v>624</v>
      </c>
      <c r="AF62" s="124" t="s">
        <v>4543</v>
      </c>
    </row>
    <row r="63" spans="1:32 16291:16307" hidden="1" x14ac:dyDescent="0.25">
      <c r="A63" s="125" t="s">
        <v>216</v>
      </c>
      <c r="B63" s="125" t="s">
        <v>495</v>
      </c>
      <c r="C63" s="124" t="s">
        <v>4566</v>
      </c>
      <c r="D63" s="124" t="s">
        <v>4567</v>
      </c>
      <c r="E63" s="124" t="s">
        <v>187</v>
      </c>
      <c r="F63" s="124" t="s">
        <v>4564</v>
      </c>
      <c r="G63" s="124" t="s">
        <v>4560</v>
      </c>
      <c r="H63" s="124" t="s">
        <v>70</v>
      </c>
      <c r="I63" s="124"/>
      <c r="J63" s="124"/>
      <c r="K63" s="124"/>
      <c r="L63" s="124" t="s">
        <v>4562</v>
      </c>
      <c r="M63" s="140"/>
      <c r="N63" s="141">
        <v>0.83330000000000004</v>
      </c>
      <c r="O63" s="142">
        <v>0.06</v>
      </c>
      <c r="P63" s="126" t="s">
        <v>4520</v>
      </c>
      <c r="Q63" s="124" t="s">
        <v>684</v>
      </c>
      <c r="R63" s="124" t="s">
        <v>4553</v>
      </c>
      <c r="S63" s="141">
        <v>0.91439999999999999</v>
      </c>
      <c r="T63" s="141">
        <v>0.33560000000000001</v>
      </c>
      <c r="U63" s="139"/>
      <c r="V63" s="124"/>
      <c r="W63" s="139"/>
      <c r="X63" s="139"/>
      <c r="Y63" s="139"/>
      <c r="Z63" s="139"/>
      <c r="AA63" s="126" t="s">
        <v>4554</v>
      </c>
      <c r="AB63" s="125" t="s">
        <v>1269</v>
      </c>
      <c r="AC63" s="124" t="s">
        <v>4568</v>
      </c>
      <c r="AD63" s="124" t="s">
        <v>497</v>
      </c>
      <c r="AE63" s="125" t="s">
        <v>624</v>
      </c>
      <c r="AF63" s="124" t="s">
        <v>4543</v>
      </c>
    </row>
    <row r="64" spans="1:32 16291:16307" hidden="1" x14ac:dyDescent="0.25">
      <c r="A64" s="125" t="s">
        <v>216</v>
      </c>
      <c r="B64" s="125" t="s">
        <v>495</v>
      </c>
      <c r="C64" s="124" t="s">
        <v>4566</v>
      </c>
      <c r="D64" s="124" t="s">
        <v>4567</v>
      </c>
      <c r="E64" s="124" t="s">
        <v>187</v>
      </c>
      <c r="F64" s="124" t="s">
        <v>4564</v>
      </c>
      <c r="G64" s="124" t="s">
        <v>4560</v>
      </c>
      <c r="H64" s="124" t="s">
        <v>71</v>
      </c>
      <c r="I64" s="124"/>
      <c r="J64" s="124"/>
      <c r="K64" s="124"/>
      <c r="L64" s="124" t="s">
        <v>4562</v>
      </c>
      <c r="M64" s="140"/>
      <c r="N64" s="141">
        <v>0.88890000000000002</v>
      </c>
      <c r="O64" s="142">
        <v>0.06</v>
      </c>
      <c r="P64" s="126" t="s">
        <v>4520</v>
      </c>
      <c r="Q64" s="124" t="s">
        <v>684</v>
      </c>
      <c r="R64" s="124" t="s">
        <v>4553</v>
      </c>
      <c r="S64" s="141">
        <v>0.91439999999999999</v>
      </c>
      <c r="T64" s="141">
        <v>0.33560000000000001</v>
      </c>
      <c r="U64" s="139"/>
      <c r="V64" s="124"/>
      <c r="W64" s="139"/>
      <c r="X64" s="139"/>
      <c r="Y64" s="139"/>
      <c r="Z64" s="139"/>
      <c r="AA64" s="126" t="s">
        <v>4554</v>
      </c>
      <c r="AB64" s="125" t="s">
        <v>1269</v>
      </c>
      <c r="AC64" s="124" t="s">
        <v>4568</v>
      </c>
      <c r="AD64" s="124" t="s">
        <v>497</v>
      </c>
      <c r="AE64" s="125" t="s">
        <v>624</v>
      </c>
      <c r="AF64" s="124" t="s">
        <v>4543</v>
      </c>
    </row>
    <row r="65" spans="1:32" hidden="1" x14ac:dyDescent="0.25">
      <c r="A65" s="125" t="s">
        <v>216</v>
      </c>
      <c r="B65" s="125" t="s">
        <v>495</v>
      </c>
      <c r="C65" s="124" t="s">
        <v>4569</v>
      </c>
      <c r="D65" s="124" t="s">
        <v>4570</v>
      </c>
      <c r="E65" s="124" t="s">
        <v>187</v>
      </c>
      <c r="F65" s="124" t="s">
        <v>4564</v>
      </c>
      <c r="G65" s="124" t="s">
        <v>4560</v>
      </c>
      <c r="H65" s="124" t="s">
        <v>67</v>
      </c>
      <c r="I65" s="124"/>
      <c r="J65" s="124"/>
      <c r="K65" s="124"/>
      <c r="L65" s="124" t="s">
        <v>4562</v>
      </c>
      <c r="M65" s="140"/>
      <c r="N65" s="141">
        <v>0.95830000000000004</v>
      </c>
      <c r="O65" s="142">
        <v>0.05</v>
      </c>
      <c r="P65" s="126" t="s">
        <v>4520</v>
      </c>
      <c r="Q65" s="124" t="s">
        <v>684</v>
      </c>
      <c r="R65" s="124" t="s">
        <v>4553</v>
      </c>
      <c r="S65" s="141">
        <v>0.91439999999999999</v>
      </c>
      <c r="T65" s="141">
        <v>0.23</v>
      </c>
      <c r="U65" s="139"/>
      <c r="V65" s="124"/>
      <c r="W65" s="139"/>
      <c r="X65" s="139"/>
      <c r="Y65" s="139"/>
      <c r="Z65" s="139"/>
      <c r="AA65" s="126" t="s">
        <v>4554</v>
      </c>
      <c r="AB65" s="125" t="s">
        <v>1269</v>
      </c>
      <c r="AC65" s="124" t="s">
        <v>4568</v>
      </c>
      <c r="AD65" s="124" t="s">
        <v>497</v>
      </c>
      <c r="AE65" s="125" t="s">
        <v>624</v>
      </c>
      <c r="AF65" s="124" t="s">
        <v>4543</v>
      </c>
    </row>
    <row r="66" spans="1:32" hidden="1" x14ac:dyDescent="0.25">
      <c r="A66" s="125" t="s">
        <v>216</v>
      </c>
      <c r="B66" s="125" t="s">
        <v>495</v>
      </c>
      <c r="C66" s="124" t="s">
        <v>4569</v>
      </c>
      <c r="D66" s="124" t="s">
        <v>4570</v>
      </c>
      <c r="E66" s="124" t="s">
        <v>187</v>
      </c>
      <c r="F66" s="124" t="s">
        <v>4564</v>
      </c>
      <c r="G66" s="124" t="s">
        <v>4560</v>
      </c>
      <c r="H66" s="124" t="s">
        <v>68</v>
      </c>
      <c r="I66" s="124"/>
      <c r="J66" s="124"/>
      <c r="K66" s="124"/>
      <c r="L66" s="124" t="s">
        <v>4562</v>
      </c>
      <c r="M66" s="140"/>
      <c r="N66" s="141">
        <v>1.0417000000000001</v>
      </c>
      <c r="O66" s="142">
        <v>0.05</v>
      </c>
      <c r="P66" s="126" t="s">
        <v>4520</v>
      </c>
      <c r="Q66" s="124" t="s">
        <v>684</v>
      </c>
      <c r="R66" s="124" t="s">
        <v>4553</v>
      </c>
      <c r="S66" s="141">
        <v>0.91439999999999999</v>
      </c>
      <c r="T66" s="141">
        <v>0.23</v>
      </c>
      <c r="U66" s="139"/>
      <c r="V66" s="124"/>
      <c r="W66" s="139"/>
      <c r="X66" s="139"/>
      <c r="Y66" s="139"/>
      <c r="Z66" s="139"/>
      <c r="AA66" s="126" t="s">
        <v>4554</v>
      </c>
      <c r="AB66" s="125" t="s">
        <v>1269</v>
      </c>
      <c r="AC66" s="124" t="s">
        <v>4568</v>
      </c>
      <c r="AD66" s="124" t="s">
        <v>497</v>
      </c>
      <c r="AE66" s="125" t="s">
        <v>624</v>
      </c>
      <c r="AF66" s="124" t="s">
        <v>4543</v>
      </c>
    </row>
    <row r="67" spans="1:32" hidden="1" x14ac:dyDescent="0.25">
      <c r="A67" s="125" t="s">
        <v>216</v>
      </c>
      <c r="B67" s="125" t="s">
        <v>495</v>
      </c>
      <c r="C67" s="124" t="s">
        <v>4569</v>
      </c>
      <c r="D67" s="124" t="s">
        <v>4570</v>
      </c>
      <c r="E67" s="124" t="s">
        <v>187</v>
      </c>
      <c r="F67" s="124" t="s">
        <v>4564</v>
      </c>
      <c r="G67" s="124" t="s">
        <v>4560</v>
      </c>
      <c r="H67" s="124" t="s">
        <v>69</v>
      </c>
      <c r="I67" s="124"/>
      <c r="J67" s="124"/>
      <c r="K67" s="124"/>
      <c r="L67" s="124" t="s">
        <v>4562</v>
      </c>
      <c r="M67" s="140"/>
      <c r="N67" s="141">
        <v>1.125</v>
      </c>
      <c r="O67" s="142">
        <v>0.05</v>
      </c>
      <c r="P67" s="126" t="s">
        <v>4520</v>
      </c>
      <c r="Q67" s="124" t="s">
        <v>684</v>
      </c>
      <c r="R67" s="124" t="s">
        <v>4553</v>
      </c>
      <c r="S67" s="141">
        <v>0.91439999999999999</v>
      </c>
      <c r="T67" s="141">
        <v>0.23</v>
      </c>
      <c r="U67" s="139"/>
      <c r="V67" s="124"/>
      <c r="W67" s="139"/>
      <c r="X67" s="139"/>
      <c r="Y67" s="139"/>
      <c r="Z67" s="139"/>
      <c r="AA67" s="126" t="s">
        <v>4554</v>
      </c>
      <c r="AB67" s="125" t="s">
        <v>1269</v>
      </c>
      <c r="AC67" s="124" t="s">
        <v>4568</v>
      </c>
      <c r="AD67" s="124" t="s">
        <v>497</v>
      </c>
      <c r="AE67" s="125" t="s">
        <v>624</v>
      </c>
      <c r="AF67" s="124" t="s">
        <v>4543</v>
      </c>
    </row>
    <row r="68" spans="1:32" hidden="1" x14ac:dyDescent="0.25">
      <c r="A68" s="125" t="s">
        <v>216</v>
      </c>
      <c r="B68" s="125" t="s">
        <v>495</v>
      </c>
      <c r="C68" s="124" t="s">
        <v>4569</v>
      </c>
      <c r="D68" s="124" t="s">
        <v>4570</v>
      </c>
      <c r="E68" s="124" t="s">
        <v>187</v>
      </c>
      <c r="F68" s="124" t="s">
        <v>4564</v>
      </c>
      <c r="G68" s="124" t="s">
        <v>4560</v>
      </c>
      <c r="H68" s="124" t="s">
        <v>70</v>
      </c>
      <c r="I68" s="124"/>
      <c r="J68" s="124"/>
      <c r="K68" s="124"/>
      <c r="L68" s="124" t="s">
        <v>4562</v>
      </c>
      <c r="M68" s="140"/>
      <c r="N68" s="141">
        <v>1.2082999999999999</v>
      </c>
      <c r="O68" s="142">
        <v>0.05</v>
      </c>
      <c r="P68" s="126" t="s">
        <v>4520</v>
      </c>
      <c r="Q68" s="124" t="s">
        <v>684</v>
      </c>
      <c r="R68" s="124" t="s">
        <v>4553</v>
      </c>
      <c r="S68" s="141">
        <v>0.91439999999999999</v>
      </c>
      <c r="T68" s="141">
        <v>0.23</v>
      </c>
      <c r="U68" s="139"/>
      <c r="V68" s="124"/>
      <c r="W68" s="139"/>
      <c r="X68" s="139"/>
      <c r="Y68" s="139"/>
      <c r="Z68" s="139"/>
      <c r="AA68" s="126" t="s">
        <v>4554</v>
      </c>
      <c r="AB68" s="125" t="s">
        <v>1269</v>
      </c>
      <c r="AC68" s="124" t="s">
        <v>4568</v>
      </c>
      <c r="AD68" s="124" t="s">
        <v>497</v>
      </c>
      <c r="AE68" s="125" t="s">
        <v>624</v>
      </c>
      <c r="AF68" s="124" t="s">
        <v>4543</v>
      </c>
    </row>
    <row r="69" spans="1:32" hidden="1" x14ac:dyDescent="0.25">
      <c r="A69" s="125" t="s">
        <v>216</v>
      </c>
      <c r="B69" s="125" t="s">
        <v>495</v>
      </c>
      <c r="C69" s="124" t="s">
        <v>4569</v>
      </c>
      <c r="D69" s="124" t="s">
        <v>4570</v>
      </c>
      <c r="E69" s="124" t="s">
        <v>187</v>
      </c>
      <c r="F69" s="124" t="s">
        <v>4564</v>
      </c>
      <c r="G69" s="124" t="s">
        <v>4560</v>
      </c>
      <c r="H69" s="124" t="s">
        <v>71</v>
      </c>
      <c r="I69" s="124"/>
      <c r="J69" s="124"/>
      <c r="K69" s="124"/>
      <c r="L69" s="124" t="s">
        <v>4562</v>
      </c>
      <c r="M69" s="140"/>
      <c r="N69" s="141">
        <v>1.2917000000000001</v>
      </c>
      <c r="O69" s="142">
        <v>0.05</v>
      </c>
      <c r="P69" s="126" t="s">
        <v>4520</v>
      </c>
      <c r="Q69" s="124" t="s">
        <v>684</v>
      </c>
      <c r="R69" s="124" t="s">
        <v>4553</v>
      </c>
      <c r="S69" s="141">
        <v>0.91439999999999999</v>
      </c>
      <c r="T69" s="141">
        <v>0.23</v>
      </c>
      <c r="U69" s="139"/>
      <c r="V69" s="124"/>
      <c r="W69" s="139"/>
      <c r="X69" s="139"/>
      <c r="Y69" s="139"/>
      <c r="Z69" s="139"/>
      <c r="AA69" s="126" t="s">
        <v>4554</v>
      </c>
      <c r="AB69" s="125" t="s">
        <v>1269</v>
      </c>
      <c r="AC69" s="124" t="s">
        <v>4568</v>
      </c>
      <c r="AD69" s="124" t="s">
        <v>497</v>
      </c>
      <c r="AE69" s="125" t="s">
        <v>624</v>
      </c>
      <c r="AF69" s="124" t="s">
        <v>4543</v>
      </c>
    </row>
    <row r="70" spans="1:32" hidden="1" x14ac:dyDescent="0.25">
      <c r="A70" s="125" t="s">
        <v>216</v>
      </c>
      <c r="B70" s="125" t="s">
        <v>495</v>
      </c>
      <c r="C70" s="124" t="s">
        <v>4569</v>
      </c>
      <c r="D70" s="124" t="s">
        <v>4570</v>
      </c>
      <c r="E70" s="124" t="s">
        <v>187</v>
      </c>
      <c r="F70" s="124" t="s">
        <v>4564</v>
      </c>
      <c r="G70" s="124" t="s">
        <v>4537</v>
      </c>
      <c r="H70" s="124" t="s">
        <v>67</v>
      </c>
      <c r="I70" s="124"/>
      <c r="J70" s="124"/>
      <c r="K70" s="124"/>
      <c r="L70" s="124" t="s">
        <v>4555</v>
      </c>
      <c r="M70" s="140"/>
      <c r="N70" s="141">
        <v>0.95830000000000004</v>
      </c>
      <c r="O70" s="142">
        <v>0.05</v>
      </c>
      <c r="P70" s="126" t="s">
        <v>4520</v>
      </c>
      <c r="Q70" s="124" t="s">
        <v>684</v>
      </c>
      <c r="R70" s="124" t="s">
        <v>4553</v>
      </c>
      <c r="S70" s="141">
        <v>0.91439999999999999</v>
      </c>
      <c r="T70" s="141">
        <v>0.23</v>
      </c>
      <c r="U70" s="139"/>
      <c r="V70" s="124"/>
      <c r="W70" s="139"/>
      <c r="X70" s="139"/>
      <c r="Y70" s="139"/>
      <c r="Z70" s="139"/>
      <c r="AA70" s="126" t="s">
        <v>4554</v>
      </c>
      <c r="AB70" s="125" t="s">
        <v>1269</v>
      </c>
      <c r="AC70" s="124" t="s">
        <v>4568</v>
      </c>
      <c r="AD70" s="124" t="s">
        <v>497</v>
      </c>
      <c r="AE70" s="125" t="s">
        <v>624</v>
      </c>
      <c r="AF70" s="124" t="s">
        <v>4543</v>
      </c>
    </row>
    <row r="71" spans="1:32" hidden="1" x14ac:dyDescent="0.25">
      <c r="A71" s="125" t="s">
        <v>216</v>
      </c>
      <c r="B71" s="125" t="s">
        <v>495</v>
      </c>
      <c r="C71" s="124" t="s">
        <v>4569</v>
      </c>
      <c r="D71" s="124" t="s">
        <v>4570</v>
      </c>
      <c r="E71" s="124" t="s">
        <v>187</v>
      </c>
      <c r="F71" s="124" t="s">
        <v>4564</v>
      </c>
      <c r="G71" s="124" t="s">
        <v>4537</v>
      </c>
      <c r="H71" s="124" t="s">
        <v>68</v>
      </c>
      <c r="I71" s="124"/>
      <c r="J71" s="124"/>
      <c r="K71" s="124"/>
      <c r="L71" s="124" t="s">
        <v>4555</v>
      </c>
      <c r="M71" s="140"/>
      <c r="N71" s="141">
        <v>1.0417000000000001</v>
      </c>
      <c r="O71" s="142">
        <v>0.05</v>
      </c>
      <c r="P71" s="126" t="s">
        <v>4520</v>
      </c>
      <c r="Q71" s="124" t="s">
        <v>684</v>
      </c>
      <c r="R71" s="124" t="s">
        <v>4553</v>
      </c>
      <c r="S71" s="141">
        <v>0.91439999999999999</v>
      </c>
      <c r="T71" s="141">
        <v>0.23</v>
      </c>
      <c r="U71" s="139"/>
      <c r="V71" s="124"/>
      <c r="W71" s="139"/>
      <c r="X71" s="139"/>
      <c r="Y71" s="139"/>
      <c r="Z71" s="139"/>
      <c r="AA71" s="126" t="s">
        <v>4554</v>
      </c>
      <c r="AB71" s="125" t="s">
        <v>1269</v>
      </c>
      <c r="AC71" s="124" t="s">
        <v>4568</v>
      </c>
      <c r="AD71" s="124" t="s">
        <v>497</v>
      </c>
      <c r="AE71" s="125" t="s">
        <v>624</v>
      </c>
      <c r="AF71" s="124" t="s">
        <v>4543</v>
      </c>
    </row>
    <row r="72" spans="1:32" hidden="1" x14ac:dyDescent="0.25">
      <c r="A72" s="125" t="s">
        <v>216</v>
      </c>
      <c r="B72" s="125" t="s">
        <v>495</v>
      </c>
      <c r="C72" s="124" t="s">
        <v>4569</v>
      </c>
      <c r="D72" s="124" t="s">
        <v>4570</v>
      </c>
      <c r="E72" s="124" t="s">
        <v>187</v>
      </c>
      <c r="F72" s="124" t="s">
        <v>4564</v>
      </c>
      <c r="G72" s="124" t="s">
        <v>4537</v>
      </c>
      <c r="H72" s="124" t="s">
        <v>69</v>
      </c>
      <c r="I72" s="124"/>
      <c r="J72" s="124"/>
      <c r="K72" s="124"/>
      <c r="L72" s="124" t="s">
        <v>4555</v>
      </c>
      <c r="M72" s="140"/>
      <c r="N72" s="141">
        <v>1.125</v>
      </c>
      <c r="O72" s="142">
        <v>0.05</v>
      </c>
      <c r="P72" s="126" t="s">
        <v>4520</v>
      </c>
      <c r="Q72" s="124" t="s">
        <v>684</v>
      </c>
      <c r="R72" s="124" t="s">
        <v>4553</v>
      </c>
      <c r="S72" s="141">
        <v>0.91439999999999999</v>
      </c>
      <c r="T72" s="141">
        <v>0.23</v>
      </c>
      <c r="U72" s="139"/>
      <c r="V72" s="124"/>
      <c r="W72" s="139"/>
      <c r="X72" s="139"/>
      <c r="Y72" s="139"/>
      <c r="Z72" s="139"/>
      <c r="AA72" s="126" t="s">
        <v>4554</v>
      </c>
      <c r="AB72" s="125" t="s">
        <v>1269</v>
      </c>
      <c r="AC72" s="124" t="s">
        <v>4568</v>
      </c>
      <c r="AD72" s="124" t="s">
        <v>497</v>
      </c>
      <c r="AE72" s="125" t="s">
        <v>624</v>
      </c>
      <c r="AF72" s="124" t="s">
        <v>4543</v>
      </c>
    </row>
    <row r="73" spans="1:32" hidden="1" x14ac:dyDescent="0.25">
      <c r="A73" s="125" t="s">
        <v>216</v>
      </c>
      <c r="B73" s="125" t="s">
        <v>495</v>
      </c>
      <c r="C73" s="124" t="s">
        <v>4569</v>
      </c>
      <c r="D73" s="124" t="s">
        <v>4570</v>
      </c>
      <c r="E73" s="124" t="s">
        <v>187</v>
      </c>
      <c r="F73" s="124" t="s">
        <v>4564</v>
      </c>
      <c r="G73" s="124" t="s">
        <v>4537</v>
      </c>
      <c r="H73" s="124" t="s">
        <v>70</v>
      </c>
      <c r="I73" s="124"/>
      <c r="J73" s="124"/>
      <c r="K73" s="124"/>
      <c r="L73" s="124" t="s">
        <v>4555</v>
      </c>
      <c r="M73" s="140"/>
      <c r="N73" s="141">
        <v>1.2082999999999999</v>
      </c>
      <c r="O73" s="142">
        <v>0.05</v>
      </c>
      <c r="P73" s="126" t="s">
        <v>4520</v>
      </c>
      <c r="Q73" s="124" t="s">
        <v>684</v>
      </c>
      <c r="R73" s="124" t="s">
        <v>4553</v>
      </c>
      <c r="S73" s="141">
        <v>0.91439999999999999</v>
      </c>
      <c r="T73" s="141">
        <v>0.23</v>
      </c>
      <c r="U73" s="139"/>
      <c r="V73" s="124"/>
      <c r="W73" s="139"/>
      <c r="X73" s="139"/>
      <c r="Y73" s="139"/>
      <c r="Z73" s="139"/>
      <c r="AA73" s="126" t="s">
        <v>4554</v>
      </c>
      <c r="AB73" s="125" t="s">
        <v>1269</v>
      </c>
      <c r="AC73" s="124" t="s">
        <v>4568</v>
      </c>
      <c r="AD73" s="124" t="s">
        <v>497</v>
      </c>
      <c r="AE73" s="125" t="s">
        <v>624</v>
      </c>
      <c r="AF73" s="124" t="s">
        <v>4543</v>
      </c>
    </row>
    <row r="74" spans="1:32" hidden="1" x14ac:dyDescent="0.25">
      <c r="A74" s="125" t="s">
        <v>216</v>
      </c>
      <c r="B74" s="125" t="s">
        <v>495</v>
      </c>
      <c r="C74" s="124" t="s">
        <v>4569</v>
      </c>
      <c r="D74" s="124" t="s">
        <v>4570</v>
      </c>
      <c r="E74" s="124" t="s">
        <v>187</v>
      </c>
      <c r="F74" s="124" t="s">
        <v>4564</v>
      </c>
      <c r="G74" s="124" t="s">
        <v>4537</v>
      </c>
      <c r="H74" s="124" t="s">
        <v>71</v>
      </c>
      <c r="I74" s="124"/>
      <c r="J74" s="124"/>
      <c r="K74" s="124"/>
      <c r="L74" s="124" t="s">
        <v>4555</v>
      </c>
      <c r="M74" s="140"/>
      <c r="N74" s="141">
        <v>1.2917000000000001</v>
      </c>
      <c r="O74" s="142">
        <v>0.05</v>
      </c>
      <c r="P74" s="126" t="s">
        <v>4520</v>
      </c>
      <c r="Q74" s="124" t="s">
        <v>684</v>
      </c>
      <c r="R74" s="124" t="s">
        <v>4553</v>
      </c>
      <c r="S74" s="141">
        <v>0.91439999999999999</v>
      </c>
      <c r="T74" s="141">
        <v>0.23</v>
      </c>
      <c r="U74" s="139"/>
      <c r="V74" s="124"/>
      <c r="W74" s="139"/>
      <c r="X74" s="139"/>
      <c r="Y74" s="139"/>
      <c r="Z74" s="139"/>
      <c r="AA74" s="126" t="s">
        <v>4554</v>
      </c>
      <c r="AB74" s="125" t="s">
        <v>1269</v>
      </c>
      <c r="AC74" s="124" t="s">
        <v>4568</v>
      </c>
      <c r="AD74" s="124" t="s">
        <v>497</v>
      </c>
      <c r="AE74" s="125" t="s">
        <v>624</v>
      </c>
      <c r="AF74" s="124" t="s">
        <v>4543</v>
      </c>
    </row>
    <row r="75" spans="1:32" hidden="1" x14ac:dyDescent="0.25">
      <c r="A75" s="125" t="s">
        <v>216</v>
      </c>
      <c r="B75" s="125" t="s">
        <v>860</v>
      </c>
      <c r="C75" s="124" t="s">
        <v>4571</v>
      </c>
      <c r="D75" s="124" t="s">
        <v>4572</v>
      </c>
      <c r="E75" s="124" t="s">
        <v>218</v>
      </c>
      <c r="F75" s="139" t="s">
        <v>4550</v>
      </c>
      <c r="G75" s="124" t="s">
        <v>4537</v>
      </c>
      <c r="H75" s="124" t="s">
        <v>4550</v>
      </c>
      <c r="I75" s="124"/>
      <c r="J75" s="124"/>
      <c r="K75" s="124"/>
      <c r="L75" s="124" t="s">
        <v>4577</v>
      </c>
      <c r="M75" s="140"/>
      <c r="N75" s="141">
        <v>5.4000000000000003E-3</v>
      </c>
      <c r="O75" s="144">
        <v>0.03</v>
      </c>
      <c r="P75" s="126" t="s">
        <v>4520</v>
      </c>
      <c r="Q75" s="125" t="s">
        <v>290</v>
      </c>
      <c r="R75" s="125" t="s">
        <v>290</v>
      </c>
      <c r="S75" s="141"/>
      <c r="T75" s="141">
        <v>0.64</v>
      </c>
      <c r="U75" s="139"/>
      <c r="V75" s="124"/>
      <c r="W75" s="139"/>
      <c r="X75" s="139"/>
      <c r="Y75" s="139"/>
      <c r="Z75" s="139"/>
      <c r="AA75" s="139" t="s">
        <v>4554</v>
      </c>
      <c r="AB75" s="125" t="s">
        <v>737</v>
      </c>
      <c r="AC75" s="124" t="s">
        <v>4573</v>
      </c>
      <c r="AD75" s="124" t="s">
        <v>497</v>
      </c>
      <c r="AE75" s="125" t="s">
        <v>624</v>
      </c>
      <c r="AF75" s="124" t="s">
        <v>4543</v>
      </c>
    </row>
    <row r="76" spans="1:32" hidden="1" x14ac:dyDescent="0.25">
      <c r="A76" s="125" t="s">
        <v>216</v>
      </c>
      <c r="B76" s="125" t="s">
        <v>860</v>
      </c>
      <c r="C76" s="124" t="s">
        <v>4574</v>
      </c>
      <c r="D76" s="124" t="s">
        <v>4575</v>
      </c>
      <c r="E76" s="124" t="s">
        <v>218</v>
      </c>
      <c r="F76" s="139" t="s">
        <v>4550</v>
      </c>
      <c r="G76" s="124" t="s">
        <v>4537</v>
      </c>
      <c r="H76" s="124" t="s">
        <v>4550</v>
      </c>
      <c r="I76" s="124"/>
      <c r="J76" s="124"/>
      <c r="K76" s="124"/>
      <c r="L76" s="124" t="s">
        <v>4577</v>
      </c>
      <c r="M76" s="140"/>
      <c r="N76" s="141">
        <v>2.3699999999999999E-2</v>
      </c>
      <c r="O76" s="144">
        <v>0.03</v>
      </c>
      <c r="P76" s="126" t="s">
        <v>4520</v>
      </c>
      <c r="Q76" s="125" t="s">
        <v>290</v>
      </c>
      <c r="R76" s="125" t="s">
        <v>290</v>
      </c>
      <c r="S76" s="141"/>
      <c r="T76" s="141">
        <v>0.44</v>
      </c>
      <c r="U76" s="139"/>
      <c r="V76" s="124"/>
      <c r="W76" s="139"/>
      <c r="X76" s="139"/>
      <c r="Y76" s="139"/>
      <c r="Z76" s="139"/>
      <c r="AA76" s="139" t="s">
        <v>4554</v>
      </c>
      <c r="AB76" s="125" t="s">
        <v>737</v>
      </c>
      <c r="AC76" s="124" t="s">
        <v>4573</v>
      </c>
      <c r="AD76" s="124" t="s">
        <v>497</v>
      </c>
      <c r="AE76" s="125" t="s">
        <v>624</v>
      </c>
      <c r="AF76" s="124" t="s">
        <v>4543</v>
      </c>
    </row>
    <row r="77" spans="1:32" hidden="1" x14ac:dyDescent="0.25">
      <c r="A77" s="125" t="s">
        <v>216</v>
      </c>
      <c r="B77" s="125" t="s">
        <v>860</v>
      </c>
      <c r="C77" s="124" t="s">
        <v>4571</v>
      </c>
      <c r="D77" s="124" t="s">
        <v>4572</v>
      </c>
      <c r="E77" s="124" t="s">
        <v>218</v>
      </c>
      <c r="F77" s="139" t="s">
        <v>4550</v>
      </c>
      <c r="G77" s="124" t="s">
        <v>4560</v>
      </c>
      <c r="H77" s="124" t="s">
        <v>4550</v>
      </c>
      <c r="I77" s="124"/>
      <c r="J77" s="124"/>
      <c r="K77" s="124"/>
      <c r="L77" s="124" t="s">
        <v>4576</v>
      </c>
      <c r="M77" s="140"/>
      <c r="N77" s="141">
        <v>5.1999999999999998E-3</v>
      </c>
      <c r="O77" s="144">
        <v>0.03</v>
      </c>
      <c r="P77" s="126" t="s">
        <v>4520</v>
      </c>
      <c r="Q77" s="125" t="s">
        <v>290</v>
      </c>
      <c r="R77" s="125" t="s">
        <v>290</v>
      </c>
      <c r="S77" s="141"/>
      <c r="T77" s="141">
        <v>0.57999999999999996</v>
      </c>
      <c r="U77" s="139"/>
      <c r="V77" s="124"/>
      <c r="W77" s="139"/>
      <c r="X77" s="139"/>
      <c r="Y77" s="139"/>
      <c r="Z77" s="139"/>
      <c r="AA77" s="139" t="s">
        <v>4554</v>
      </c>
      <c r="AB77" s="125" t="s">
        <v>737</v>
      </c>
      <c r="AC77" s="124" t="s">
        <v>4573</v>
      </c>
      <c r="AD77" s="124" t="s">
        <v>497</v>
      </c>
      <c r="AE77" s="125" t="s">
        <v>624</v>
      </c>
      <c r="AF77" s="124" t="s">
        <v>4543</v>
      </c>
    </row>
    <row r="78" spans="1:32" hidden="1" x14ac:dyDescent="0.25">
      <c r="A78" s="125" t="s">
        <v>216</v>
      </c>
      <c r="B78" s="125" t="s">
        <v>860</v>
      </c>
      <c r="C78" s="124" t="s">
        <v>4574</v>
      </c>
      <c r="D78" s="124" t="s">
        <v>4575</v>
      </c>
      <c r="E78" s="124" t="s">
        <v>218</v>
      </c>
      <c r="F78" s="139" t="s">
        <v>4550</v>
      </c>
      <c r="G78" s="124" t="s">
        <v>4560</v>
      </c>
      <c r="H78" s="124" t="s">
        <v>4550</v>
      </c>
      <c r="I78" s="124"/>
      <c r="J78" s="124"/>
      <c r="K78" s="124"/>
      <c r="L78" s="124" t="s">
        <v>4576</v>
      </c>
      <c r="M78" s="140"/>
      <c r="N78" s="141">
        <v>2.3699999999999999E-2</v>
      </c>
      <c r="O78" s="144">
        <v>0.03</v>
      </c>
      <c r="P78" s="126" t="s">
        <v>4520</v>
      </c>
      <c r="Q78" s="125" t="s">
        <v>290</v>
      </c>
      <c r="R78" s="125" t="s">
        <v>290</v>
      </c>
      <c r="S78" s="141"/>
      <c r="T78" s="141">
        <v>0.42</v>
      </c>
      <c r="U78" s="139"/>
      <c r="V78" s="124"/>
      <c r="W78" s="139"/>
      <c r="X78" s="139"/>
      <c r="Y78" s="139"/>
      <c r="Z78" s="139"/>
      <c r="AA78" s="139" t="s">
        <v>4554</v>
      </c>
      <c r="AB78" s="125" t="s">
        <v>737</v>
      </c>
      <c r="AC78" s="124" t="s">
        <v>4573</v>
      </c>
      <c r="AD78" s="124" t="s">
        <v>497</v>
      </c>
      <c r="AE78" s="125" t="s">
        <v>624</v>
      </c>
      <c r="AF78" s="124" t="s">
        <v>4543</v>
      </c>
    </row>
    <row r="79" spans="1:32" hidden="1" x14ac:dyDescent="0.25">
      <c r="A79" s="124" t="s">
        <v>216</v>
      </c>
      <c r="B79" s="124" t="s">
        <v>679</v>
      </c>
      <c r="C79" s="124" t="s">
        <v>4578</v>
      </c>
      <c r="D79" s="151" t="s">
        <v>4631</v>
      </c>
      <c r="E79" s="124" t="s">
        <v>187</v>
      </c>
      <c r="F79" s="124" t="s">
        <v>4550</v>
      </c>
      <c r="G79" s="124" t="s">
        <v>4550</v>
      </c>
      <c r="H79" s="124" t="s">
        <v>4550</v>
      </c>
      <c r="I79" s="124"/>
      <c r="J79" s="124"/>
      <c r="K79" s="124"/>
      <c r="L79" s="124" t="s">
        <v>4579</v>
      </c>
      <c r="M79" s="124" t="s">
        <v>4564</v>
      </c>
      <c r="N79" s="149">
        <v>1</v>
      </c>
      <c r="O79" s="142">
        <v>0.03</v>
      </c>
      <c r="P79" s="144" t="s">
        <v>4520</v>
      </c>
      <c r="Q79" s="124" t="s">
        <v>576</v>
      </c>
      <c r="R79" s="124" t="s">
        <v>576</v>
      </c>
      <c r="S79" s="124"/>
      <c r="T79" s="141">
        <v>0.16500000000000001</v>
      </c>
      <c r="U79" s="124"/>
      <c r="V79" s="150">
        <v>5.0000000000000001E-3</v>
      </c>
      <c r="W79" s="124"/>
      <c r="X79" s="124"/>
      <c r="Y79" s="124"/>
      <c r="Z79" s="124"/>
      <c r="AA79" s="126" t="s">
        <v>4554</v>
      </c>
      <c r="AB79" s="124" t="s">
        <v>1392</v>
      </c>
      <c r="AC79" s="124" t="s">
        <v>4580</v>
      </c>
      <c r="AD79" s="124" t="s">
        <v>190</v>
      </c>
      <c r="AE79" s="125" t="s">
        <v>517</v>
      </c>
      <c r="AF79" s="124" t="s">
        <v>4543</v>
      </c>
    </row>
    <row r="80" spans="1:32" hidden="1" x14ac:dyDescent="0.25">
      <c r="A80" s="124" t="s">
        <v>216</v>
      </c>
      <c r="B80" s="124" t="s">
        <v>679</v>
      </c>
      <c r="C80" s="124" t="s">
        <v>4581</v>
      </c>
      <c r="D80" s="124" t="s">
        <v>4586</v>
      </c>
      <c r="E80" s="124" t="s">
        <v>218</v>
      </c>
      <c r="F80" s="124" t="s">
        <v>4550</v>
      </c>
      <c r="G80" s="124" t="s">
        <v>4550</v>
      </c>
      <c r="H80" s="124" t="s">
        <v>4550</v>
      </c>
      <c r="I80" s="124"/>
      <c r="J80" s="124"/>
      <c r="K80" s="124"/>
      <c r="L80" s="124" t="s">
        <v>4579</v>
      </c>
      <c r="M80" s="124"/>
      <c r="N80" s="149">
        <v>1</v>
      </c>
      <c r="O80" s="142">
        <v>0.03</v>
      </c>
      <c r="P80" s="144" t="s">
        <v>4520</v>
      </c>
      <c r="Q80" s="124" t="s">
        <v>576</v>
      </c>
      <c r="R80" s="124" t="s">
        <v>576</v>
      </c>
      <c r="S80" s="124"/>
      <c r="T80" s="141">
        <v>1.0999999999999999E-2</v>
      </c>
      <c r="U80" s="124"/>
      <c r="V80" s="150">
        <v>5.0000000000000001E-3</v>
      </c>
      <c r="W80" s="124"/>
      <c r="X80" s="124"/>
      <c r="Y80" s="124"/>
      <c r="Z80" s="124"/>
      <c r="AA80" s="126" t="s">
        <v>4554</v>
      </c>
      <c r="AB80" s="124" t="s">
        <v>1392</v>
      </c>
      <c r="AC80" s="124" t="s">
        <v>4580</v>
      </c>
      <c r="AD80" s="124" t="s">
        <v>190</v>
      </c>
      <c r="AE80" s="125" t="s">
        <v>517</v>
      </c>
      <c r="AF80" s="124" t="s">
        <v>4543</v>
      </c>
    </row>
    <row r="81" spans="1:32" hidden="1" x14ac:dyDescent="0.25">
      <c r="A81" s="125" t="s">
        <v>249</v>
      </c>
      <c r="B81" s="125" t="s">
        <v>4582</v>
      </c>
      <c r="C81" s="124" t="s">
        <v>4583</v>
      </c>
      <c r="D81" s="124" t="s">
        <v>4585</v>
      </c>
      <c r="E81" s="124" t="s">
        <v>218</v>
      </c>
      <c r="F81" s="139" t="s">
        <v>4550</v>
      </c>
      <c r="G81" s="124" t="s">
        <v>4550</v>
      </c>
      <c r="H81" s="124" t="s">
        <v>4550</v>
      </c>
      <c r="I81" s="124"/>
      <c r="J81" s="124"/>
      <c r="K81" s="124"/>
      <c r="L81" s="124"/>
      <c r="M81" s="140"/>
      <c r="N81" s="149">
        <v>1</v>
      </c>
      <c r="O81" s="142">
        <v>0.03</v>
      </c>
      <c r="P81" s="126" t="s">
        <v>4520</v>
      </c>
      <c r="Q81" s="125" t="s">
        <v>576</v>
      </c>
      <c r="R81" s="125" t="s">
        <v>576</v>
      </c>
      <c r="S81" s="141"/>
      <c r="T81" s="141">
        <v>2.0500000000000001E-2</v>
      </c>
      <c r="U81" s="139"/>
      <c r="V81" s="124"/>
      <c r="W81" s="139"/>
      <c r="X81" s="139"/>
      <c r="Y81" s="139"/>
      <c r="Z81" s="139"/>
      <c r="AA81" s="126" t="s">
        <v>4554</v>
      </c>
      <c r="AB81" s="125" t="s">
        <v>1302</v>
      </c>
      <c r="AC81" s="124" t="s">
        <v>4584</v>
      </c>
      <c r="AD81" s="124" t="s">
        <v>497</v>
      </c>
      <c r="AE81" s="125" t="s">
        <v>624</v>
      </c>
      <c r="AF81" s="124" t="s">
        <v>4543</v>
      </c>
    </row>
    <row r="82" spans="1:32" hidden="1" x14ac:dyDescent="0.25">
      <c r="A82" s="125" t="s">
        <v>249</v>
      </c>
      <c r="B82" s="125" t="s">
        <v>568</v>
      </c>
      <c r="C82" s="124" t="s">
        <v>4596</v>
      </c>
      <c r="D82" s="124" t="s">
        <v>4597</v>
      </c>
      <c r="E82" s="124" t="s">
        <v>187</v>
      </c>
      <c r="F82" s="139" t="s">
        <v>4550</v>
      </c>
      <c r="G82" s="124" t="s">
        <v>4550</v>
      </c>
      <c r="H82" s="124" t="s">
        <v>4550</v>
      </c>
      <c r="I82" s="124"/>
      <c r="J82" s="124"/>
      <c r="K82" s="124"/>
      <c r="L82" s="124"/>
      <c r="M82" s="140"/>
      <c r="N82" s="152">
        <v>1</v>
      </c>
      <c r="O82" s="142">
        <v>0.03</v>
      </c>
      <c r="P82" s="126" t="s">
        <v>4520</v>
      </c>
      <c r="Q82" s="125" t="s">
        <v>576</v>
      </c>
      <c r="R82" s="125" t="s">
        <v>576</v>
      </c>
      <c r="S82" s="141"/>
      <c r="T82" s="141">
        <v>5.6000000000000001E-2</v>
      </c>
      <c r="U82" s="139"/>
      <c r="V82" s="124">
        <v>3.0000000000000001E-3</v>
      </c>
      <c r="W82" s="139"/>
      <c r="X82" s="139"/>
      <c r="Y82" s="139"/>
      <c r="Z82" s="139"/>
      <c r="AA82" s="126" t="s">
        <v>4554</v>
      </c>
      <c r="AB82" s="125" t="s">
        <v>4598</v>
      </c>
      <c r="AC82" s="124" t="s">
        <v>4599</v>
      </c>
      <c r="AD82" s="124" t="s">
        <v>571</v>
      </c>
      <c r="AE82" s="124" t="s">
        <v>517</v>
      </c>
      <c r="AF82" s="124" t="s">
        <v>4543</v>
      </c>
    </row>
    <row r="83" spans="1:32" hidden="1" x14ac:dyDescent="0.25">
      <c r="A83" s="125" t="s">
        <v>249</v>
      </c>
      <c r="B83" s="125" t="s">
        <v>568</v>
      </c>
      <c r="C83" s="124" t="s">
        <v>4621</v>
      </c>
      <c r="D83" s="124" t="s">
        <v>4622</v>
      </c>
      <c r="E83" s="124" t="s">
        <v>218</v>
      </c>
      <c r="F83" s="139" t="s">
        <v>4589</v>
      </c>
      <c r="G83" s="124" t="s">
        <v>4550</v>
      </c>
      <c r="H83" s="124" t="s">
        <v>4550</v>
      </c>
      <c r="I83" s="124"/>
      <c r="J83" s="124"/>
      <c r="K83" s="124"/>
      <c r="L83" s="124"/>
      <c r="M83" s="140"/>
      <c r="N83" s="152">
        <v>1</v>
      </c>
      <c r="O83" s="142">
        <v>0.03</v>
      </c>
      <c r="P83" s="126" t="s">
        <v>4520</v>
      </c>
      <c r="Q83" s="125" t="s">
        <v>576</v>
      </c>
      <c r="R83" s="125" t="s">
        <v>576</v>
      </c>
      <c r="S83" s="141"/>
      <c r="T83" s="141">
        <v>3.9E-2</v>
      </c>
      <c r="U83" s="139"/>
      <c r="V83" s="124">
        <v>3.0000000000000001E-3</v>
      </c>
      <c r="W83" s="139"/>
      <c r="X83" s="139"/>
      <c r="Y83" s="139"/>
      <c r="Z83" s="139"/>
      <c r="AA83" s="126" t="s">
        <v>4554</v>
      </c>
      <c r="AB83" s="125" t="s">
        <v>4601</v>
      </c>
      <c r="AC83" s="124" t="s">
        <v>4580</v>
      </c>
      <c r="AD83" s="124" t="s">
        <v>571</v>
      </c>
      <c r="AE83" s="124" t="s">
        <v>517</v>
      </c>
      <c r="AF83" s="124" t="s">
        <v>4543</v>
      </c>
    </row>
    <row r="84" spans="1:32" hidden="1" x14ac:dyDescent="0.25">
      <c r="A84" s="125" t="s">
        <v>249</v>
      </c>
      <c r="B84" s="125" t="s">
        <v>568</v>
      </c>
      <c r="C84" s="124" t="s">
        <v>4626</v>
      </c>
      <c r="D84" s="124" t="s">
        <v>4625</v>
      </c>
      <c r="E84" s="124" t="s">
        <v>218</v>
      </c>
      <c r="F84" s="139" t="s">
        <v>4592</v>
      </c>
      <c r="G84" s="124" t="s">
        <v>4550</v>
      </c>
      <c r="H84" s="124" t="s">
        <v>4550</v>
      </c>
      <c r="I84" s="124"/>
      <c r="J84" s="124"/>
      <c r="K84" s="124"/>
      <c r="L84" s="124"/>
      <c r="M84" s="140"/>
      <c r="N84" s="152">
        <v>1</v>
      </c>
      <c r="O84" s="142">
        <v>0.03</v>
      </c>
      <c r="P84" s="126" t="s">
        <v>4520</v>
      </c>
      <c r="Q84" s="125" t="s">
        <v>576</v>
      </c>
      <c r="R84" s="125" t="s">
        <v>576</v>
      </c>
      <c r="S84" s="141"/>
      <c r="T84" s="141">
        <v>3.9E-2</v>
      </c>
      <c r="U84" s="139"/>
      <c r="V84" s="124">
        <v>3.0000000000000001E-3</v>
      </c>
      <c r="W84" s="139"/>
      <c r="X84" s="139"/>
      <c r="Y84" s="139"/>
      <c r="Z84" s="139"/>
      <c r="AA84" s="126" t="s">
        <v>4554</v>
      </c>
      <c r="AB84" s="125" t="s">
        <v>4601</v>
      </c>
      <c r="AC84" s="124" t="s">
        <v>4580</v>
      </c>
      <c r="AD84" s="124" t="s">
        <v>571</v>
      </c>
      <c r="AE84" s="124" t="s">
        <v>517</v>
      </c>
      <c r="AF84" s="124" t="s">
        <v>4543</v>
      </c>
    </row>
    <row r="85" spans="1:32" hidden="1" x14ac:dyDescent="0.25">
      <c r="A85" s="125" t="s">
        <v>249</v>
      </c>
      <c r="B85" s="125" t="s">
        <v>568</v>
      </c>
      <c r="C85" s="124" t="s">
        <v>4626</v>
      </c>
      <c r="D85" s="124" t="s">
        <v>4625</v>
      </c>
      <c r="E85" s="124" t="s">
        <v>218</v>
      </c>
      <c r="F85" s="139" t="s">
        <v>4595</v>
      </c>
      <c r="G85" s="124" t="s">
        <v>4550</v>
      </c>
      <c r="H85" s="124" t="s">
        <v>4550</v>
      </c>
      <c r="I85" s="124"/>
      <c r="J85" s="124"/>
      <c r="K85" s="124"/>
      <c r="L85" s="124"/>
      <c r="M85" s="140"/>
      <c r="N85" s="152">
        <v>1</v>
      </c>
      <c r="O85" s="142">
        <v>0.03</v>
      </c>
      <c r="P85" s="126" t="s">
        <v>4520</v>
      </c>
      <c r="Q85" s="125" t="s">
        <v>576</v>
      </c>
      <c r="R85" s="125" t="s">
        <v>576</v>
      </c>
      <c r="S85" s="141"/>
      <c r="T85" s="141">
        <v>3.9E-2</v>
      </c>
      <c r="U85" s="139"/>
      <c r="V85" s="124">
        <v>3.0000000000000001E-3</v>
      </c>
      <c r="W85" s="139"/>
      <c r="X85" s="139"/>
      <c r="Y85" s="139"/>
      <c r="Z85" s="139"/>
      <c r="AA85" s="126" t="s">
        <v>4554</v>
      </c>
      <c r="AB85" s="125" t="s">
        <v>4601</v>
      </c>
      <c r="AC85" s="124" t="s">
        <v>4580</v>
      </c>
      <c r="AD85" s="124" t="s">
        <v>571</v>
      </c>
      <c r="AE85" s="124" t="s">
        <v>517</v>
      </c>
      <c r="AF85" s="124" t="s">
        <v>4543</v>
      </c>
    </row>
    <row r="86" spans="1:32" hidden="1" x14ac:dyDescent="0.25">
      <c r="A86" s="125" t="s">
        <v>249</v>
      </c>
      <c r="B86" s="125" t="s">
        <v>568</v>
      </c>
      <c r="C86" s="124" t="s">
        <v>4616</v>
      </c>
      <c r="D86" s="124" t="s">
        <v>4615</v>
      </c>
      <c r="E86" s="124" t="s">
        <v>218</v>
      </c>
      <c r="F86" s="139" t="s">
        <v>4534</v>
      </c>
      <c r="G86" s="124" t="s">
        <v>4537</v>
      </c>
      <c r="H86" s="124" t="s">
        <v>4550</v>
      </c>
      <c r="I86" s="124"/>
      <c r="J86" s="124"/>
      <c r="K86" s="124"/>
      <c r="L86" s="124" t="s">
        <v>4538</v>
      </c>
      <c r="M86" s="140" t="s">
        <v>4550</v>
      </c>
      <c r="N86" s="152">
        <v>1</v>
      </c>
      <c r="O86" s="142">
        <v>0.03</v>
      </c>
      <c r="P86" s="126" t="s">
        <v>4520</v>
      </c>
      <c r="Q86" s="125" t="s">
        <v>576</v>
      </c>
      <c r="R86" s="125" t="s">
        <v>576</v>
      </c>
      <c r="S86" s="141"/>
      <c r="T86" s="141">
        <v>5.0999999999999997E-2</v>
      </c>
      <c r="U86" s="139"/>
      <c r="V86" s="124">
        <v>3.0000000000000001E-3</v>
      </c>
      <c r="W86" s="139"/>
      <c r="X86" s="139"/>
      <c r="Y86" s="139"/>
      <c r="Z86" s="139"/>
      <c r="AA86" s="126" t="s">
        <v>4554</v>
      </c>
      <c r="AB86" s="125" t="s">
        <v>4601</v>
      </c>
      <c r="AC86" s="124" t="s">
        <v>4580</v>
      </c>
      <c r="AD86" s="124" t="s">
        <v>571</v>
      </c>
      <c r="AE86" s="124" t="s">
        <v>517</v>
      </c>
      <c r="AF86" s="124" t="s">
        <v>4543</v>
      </c>
    </row>
    <row r="87" spans="1:32" hidden="1" x14ac:dyDescent="0.25">
      <c r="A87" s="125" t="s">
        <v>249</v>
      </c>
      <c r="B87" s="125" t="s">
        <v>568</v>
      </c>
      <c r="C87" s="124" t="s">
        <v>4616</v>
      </c>
      <c r="D87" s="124" t="s">
        <v>4615</v>
      </c>
      <c r="E87" s="124" t="s">
        <v>218</v>
      </c>
      <c r="F87" s="139" t="s">
        <v>4534</v>
      </c>
      <c r="G87" s="124" t="s">
        <v>4560</v>
      </c>
      <c r="H87" s="124" t="s">
        <v>4550</v>
      </c>
      <c r="I87" s="124"/>
      <c r="J87" s="124"/>
      <c r="K87" s="124"/>
      <c r="L87" s="124" t="s">
        <v>4561</v>
      </c>
      <c r="M87" s="140" t="s">
        <v>4550</v>
      </c>
      <c r="N87" s="152">
        <v>1</v>
      </c>
      <c r="O87" s="142">
        <v>0.03</v>
      </c>
      <c r="P87" s="126" t="s">
        <v>4520</v>
      </c>
      <c r="Q87" s="125" t="s">
        <v>576</v>
      </c>
      <c r="R87" s="125" t="s">
        <v>576</v>
      </c>
      <c r="S87" s="141"/>
      <c r="T87" s="141">
        <v>5.0999999999999997E-2</v>
      </c>
      <c r="U87" s="139"/>
      <c r="V87" s="124">
        <v>3.0000000000000001E-3</v>
      </c>
      <c r="W87" s="139"/>
      <c r="X87" s="139"/>
      <c r="Y87" s="139"/>
      <c r="Z87" s="139"/>
      <c r="AA87" s="126" t="s">
        <v>4554</v>
      </c>
      <c r="AB87" s="125" t="s">
        <v>4601</v>
      </c>
      <c r="AC87" s="124" t="s">
        <v>4580</v>
      </c>
      <c r="AD87" s="124" t="s">
        <v>571</v>
      </c>
      <c r="AE87" s="124" t="s">
        <v>517</v>
      </c>
      <c r="AF87" s="124" t="s">
        <v>4543</v>
      </c>
    </row>
    <row r="88" spans="1:32" hidden="1" x14ac:dyDescent="0.25">
      <c r="A88" s="125" t="s">
        <v>249</v>
      </c>
      <c r="B88" s="125" t="s">
        <v>568</v>
      </c>
      <c r="C88" s="124" t="s">
        <v>4619</v>
      </c>
      <c r="D88" s="124" t="s">
        <v>4620</v>
      </c>
      <c r="E88" s="124" t="s">
        <v>218</v>
      </c>
      <c r="F88" s="139" t="s">
        <v>4589</v>
      </c>
      <c r="G88" s="124" t="s">
        <v>4537</v>
      </c>
      <c r="H88" s="124" t="s">
        <v>4550</v>
      </c>
      <c r="I88" s="124"/>
      <c r="J88" s="124"/>
      <c r="K88" s="124"/>
      <c r="L88" s="124" t="s">
        <v>4538</v>
      </c>
      <c r="M88" s="140" t="s">
        <v>4550</v>
      </c>
      <c r="N88" s="152">
        <v>1</v>
      </c>
      <c r="O88" s="142">
        <v>0.03</v>
      </c>
      <c r="P88" s="126" t="s">
        <v>4520</v>
      </c>
      <c r="Q88" s="125" t="s">
        <v>576</v>
      </c>
      <c r="R88" s="125" t="s">
        <v>576</v>
      </c>
      <c r="S88" s="141"/>
      <c r="T88" s="141">
        <v>5.0999999999999997E-2</v>
      </c>
      <c r="U88" s="139"/>
      <c r="V88" s="124">
        <v>3.0000000000000001E-3</v>
      </c>
      <c r="W88" s="139"/>
      <c r="X88" s="139"/>
      <c r="Y88" s="139"/>
      <c r="Z88" s="139"/>
      <c r="AA88" s="126" t="s">
        <v>4554</v>
      </c>
      <c r="AB88" s="125" t="s">
        <v>4601</v>
      </c>
      <c r="AC88" s="124" t="s">
        <v>4580</v>
      </c>
      <c r="AD88" s="124" t="s">
        <v>571</v>
      </c>
      <c r="AE88" s="124" t="s">
        <v>517</v>
      </c>
      <c r="AF88" s="124" t="s">
        <v>4543</v>
      </c>
    </row>
    <row r="89" spans="1:32" hidden="1" x14ac:dyDescent="0.25">
      <c r="A89" s="125" t="s">
        <v>249</v>
      </c>
      <c r="B89" s="125" t="s">
        <v>568</v>
      </c>
      <c r="C89" s="124" t="s">
        <v>4619</v>
      </c>
      <c r="D89" s="124" t="s">
        <v>4620</v>
      </c>
      <c r="E89" s="124" t="s">
        <v>218</v>
      </c>
      <c r="F89" s="139" t="s">
        <v>4589</v>
      </c>
      <c r="G89" s="124" t="s">
        <v>4560</v>
      </c>
      <c r="H89" s="124" t="s">
        <v>4550</v>
      </c>
      <c r="I89" s="124"/>
      <c r="J89" s="124"/>
      <c r="K89" s="124"/>
      <c r="L89" s="124" t="s">
        <v>4561</v>
      </c>
      <c r="M89" s="140" t="s">
        <v>4550</v>
      </c>
      <c r="N89" s="152">
        <v>1</v>
      </c>
      <c r="O89" s="142">
        <v>0.03</v>
      </c>
      <c r="P89" s="126" t="s">
        <v>4520</v>
      </c>
      <c r="Q89" s="125" t="s">
        <v>576</v>
      </c>
      <c r="R89" s="125" t="s">
        <v>576</v>
      </c>
      <c r="S89" s="141"/>
      <c r="T89" s="141">
        <v>5.0999999999999997E-2</v>
      </c>
      <c r="U89" s="139"/>
      <c r="V89" s="124">
        <v>3.0000000000000001E-3</v>
      </c>
      <c r="W89" s="139"/>
      <c r="X89" s="139"/>
      <c r="Y89" s="139"/>
      <c r="Z89" s="139"/>
      <c r="AA89" s="126" t="s">
        <v>4554</v>
      </c>
      <c r="AB89" s="125" t="s">
        <v>4601</v>
      </c>
      <c r="AC89" s="124" t="s">
        <v>4580</v>
      </c>
      <c r="AD89" s="124" t="s">
        <v>571</v>
      </c>
      <c r="AE89" s="124" t="s">
        <v>517</v>
      </c>
      <c r="AF89" s="124" t="s">
        <v>4543</v>
      </c>
    </row>
    <row r="90" spans="1:32" hidden="1" x14ac:dyDescent="0.25">
      <c r="A90" s="125" t="s">
        <v>249</v>
      </c>
      <c r="B90" s="125" t="s">
        <v>568</v>
      </c>
      <c r="C90" s="124" t="s">
        <v>4628</v>
      </c>
      <c r="D90" s="124" t="s">
        <v>4627</v>
      </c>
      <c r="E90" s="124" t="s">
        <v>218</v>
      </c>
      <c r="F90" s="139" t="s">
        <v>4592</v>
      </c>
      <c r="G90" s="124" t="s">
        <v>4537</v>
      </c>
      <c r="H90" s="124" t="s">
        <v>4550</v>
      </c>
      <c r="I90" s="124"/>
      <c r="J90" s="124"/>
      <c r="K90" s="124"/>
      <c r="L90" s="124" t="s">
        <v>4538</v>
      </c>
      <c r="M90" s="140" t="s">
        <v>4550</v>
      </c>
      <c r="N90" s="152">
        <v>1</v>
      </c>
      <c r="O90" s="142">
        <v>0.03</v>
      </c>
      <c r="P90" s="126" t="s">
        <v>4520</v>
      </c>
      <c r="Q90" s="125" t="s">
        <v>576</v>
      </c>
      <c r="R90" s="125" t="s">
        <v>576</v>
      </c>
      <c r="S90" s="141"/>
      <c r="T90" s="141">
        <v>5.0999999999999997E-2</v>
      </c>
      <c r="U90" s="139"/>
      <c r="V90" s="124">
        <v>3.0000000000000001E-3</v>
      </c>
      <c r="W90" s="139"/>
      <c r="X90" s="139"/>
      <c r="Y90" s="139"/>
      <c r="Z90" s="139"/>
      <c r="AA90" s="126" t="s">
        <v>4554</v>
      </c>
      <c r="AB90" s="125" t="s">
        <v>4601</v>
      </c>
      <c r="AC90" s="124" t="s">
        <v>4580</v>
      </c>
      <c r="AD90" s="124" t="s">
        <v>571</v>
      </c>
      <c r="AE90" s="124" t="s">
        <v>517</v>
      </c>
      <c r="AF90" s="124" t="s">
        <v>4543</v>
      </c>
    </row>
    <row r="91" spans="1:32" hidden="1" x14ac:dyDescent="0.25">
      <c r="A91" s="125" t="s">
        <v>249</v>
      </c>
      <c r="B91" s="125" t="s">
        <v>568</v>
      </c>
      <c r="C91" s="124" t="s">
        <v>4628</v>
      </c>
      <c r="D91" s="124" t="s">
        <v>4627</v>
      </c>
      <c r="E91" s="124" t="s">
        <v>218</v>
      </c>
      <c r="F91" s="139" t="s">
        <v>4592</v>
      </c>
      <c r="G91" s="124" t="s">
        <v>4560</v>
      </c>
      <c r="H91" s="124" t="s">
        <v>4550</v>
      </c>
      <c r="I91" s="124"/>
      <c r="J91" s="124"/>
      <c r="K91" s="124"/>
      <c r="L91" s="124" t="s">
        <v>4561</v>
      </c>
      <c r="M91" s="140" t="s">
        <v>4550</v>
      </c>
      <c r="N91" s="152">
        <v>1</v>
      </c>
      <c r="O91" s="142">
        <v>0.03</v>
      </c>
      <c r="P91" s="126" t="s">
        <v>4520</v>
      </c>
      <c r="Q91" s="125" t="s">
        <v>576</v>
      </c>
      <c r="R91" s="125" t="s">
        <v>576</v>
      </c>
      <c r="S91" s="141"/>
      <c r="T91" s="141">
        <v>5.0999999999999997E-2</v>
      </c>
      <c r="U91" s="139"/>
      <c r="V91" s="124">
        <v>3.0000000000000001E-3</v>
      </c>
      <c r="W91" s="139"/>
      <c r="X91" s="139"/>
      <c r="Y91" s="139"/>
      <c r="Z91" s="139"/>
      <c r="AA91" s="126" t="s">
        <v>4554</v>
      </c>
      <c r="AB91" s="125" t="s">
        <v>4601</v>
      </c>
      <c r="AC91" s="124" t="s">
        <v>4580</v>
      </c>
      <c r="AD91" s="124" t="s">
        <v>571</v>
      </c>
      <c r="AE91" s="124" t="s">
        <v>517</v>
      </c>
      <c r="AF91" s="124" t="s">
        <v>4543</v>
      </c>
    </row>
    <row r="92" spans="1:32" hidden="1" x14ac:dyDescent="0.25">
      <c r="A92" s="125" t="s">
        <v>249</v>
      </c>
      <c r="B92" s="125" t="s">
        <v>568</v>
      </c>
      <c r="C92" s="124" t="s">
        <v>4628</v>
      </c>
      <c r="D92" s="124" t="s">
        <v>4627</v>
      </c>
      <c r="E92" s="124" t="s">
        <v>218</v>
      </c>
      <c r="F92" s="139" t="s">
        <v>4595</v>
      </c>
      <c r="G92" s="124" t="s">
        <v>4537</v>
      </c>
      <c r="H92" s="124" t="s">
        <v>4550</v>
      </c>
      <c r="I92" s="124"/>
      <c r="J92" s="124"/>
      <c r="K92" s="124"/>
      <c r="L92" s="124" t="s">
        <v>4538</v>
      </c>
      <c r="M92" s="140" t="s">
        <v>4550</v>
      </c>
      <c r="N92" s="152">
        <v>1</v>
      </c>
      <c r="O92" s="142">
        <v>0.03</v>
      </c>
      <c r="P92" s="126" t="s">
        <v>4520</v>
      </c>
      <c r="Q92" s="125" t="s">
        <v>576</v>
      </c>
      <c r="R92" s="125" t="s">
        <v>576</v>
      </c>
      <c r="S92" s="141"/>
      <c r="T92" s="141">
        <v>5.0999999999999997E-2</v>
      </c>
      <c r="U92" s="139"/>
      <c r="V92" s="124">
        <v>3.0000000000000001E-3</v>
      </c>
      <c r="W92" s="139"/>
      <c r="X92" s="139"/>
      <c r="Y92" s="139"/>
      <c r="Z92" s="139"/>
      <c r="AA92" s="126" t="s">
        <v>4554</v>
      </c>
      <c r="AB92" s="125" t="s">
        <v>4601</v>
      </c>
      <c r="AC92" s="124" t="s">
        <v>4580</v>
      </c>
      <c r="AD92" s="124" t="s">
        <v>571</v>
      </c>
      <c r="AE92" s="124" t="s">
        <v>517</v>
      </c>
      <c r="AF92" s="124" t="s">
        <v>4543</v>
      </c>
    </row>
    <row r="93" spans="1:32" hidden="1" x14ac:dyDescent="0.25">
      <c r="A93" s="125" t="s">
        <v>249</v>
      </c>
      <c r="B93" s="125" t="s">
        <v>568</v>
      </c>
      <c r="C93" s="124" t="s">
        <v>4628</v>
      </c>
      <c r="D93" s="124" t="s">
        <v>4627</v>
      </c>
      <c r="E93" s="124" t="s">
        <v>218</v>
      </c>
      <c r="F93" s="139" t="s">
        <v>4595</v>
      </c>
      <c r="G93" s="124" t="s">
        <v>4560</v>
      </c>
      <c r="H93" s="124" t="s">
        <v>4550</v>
      </c>
      <c r="I93" s="124"/>
      <c r="J93" s="124"/>
      <c r="K93" s="124"/>
      <c r="L93" s="124" t="s">
        <v>4561</v>
      </c>
      <c r="M93" s="140" t="s">
        <v>4550</v>
      </c>
      <c r="N93" s="152">
        <v>1</v>
      </c>
      <c r="O93" s="142">
        <v>0.03</v>
      </c>
      <c r="P93" s="126" t="s">
        <v>4520</v>
      </c>
      <c r="Q93" s="125" t="s">
        <v>576</v>
      </c>
      <c r="R93" s="125" t="s">
        <v>576</v>
      </c>
      <c r="S93" s="141"/>
      <c r="T93" s="141">
        <v>5.0999999999999997E-2</v>
      </c>
      <c r="U93" s="139"/>
      <c r="V93" s="124">
        <v>3.0000000000000001E-3</v>
      </c>
      <c r="W93" s="139"/>
      <c r="X93" s="139"/>
      <c r="Y93" s="139"/>
      <c r="Z93" s="139"/>
      <c r="AA93" s="126" t="s">
        <v>4554</v>
      </c>
      <c r="AB93" s="125" t="s">
        <v>4601</v>
      </c>
      <c r="AC93" s="124" t="s">
        <v>4580</v>
      </c>
      <c r="AD93" s="124" t="s">
        <v>571</v>
      </c>
      <c r="AE93" s="124" t="s">
        <v>517</v>
      </c>
      <c r="AF93" s="124" t="s">
        <v>4543</v>
      </c>
    </row>
    <row r="94" spans="1:32" hidden="1" x14ac:dyDescent="0.25">
      <c r="A94" s="125" t="s">
        <v>249</v>
      </c>
      <c r="B94" s="125" t="s">
        <v>880</v>
      </c>
      <c r="C94" s="124" t="s">
        <v>4617</v>
      </c>
      <c r="D94" s="124" t="s">
        <v>4602</v>
      </c>
      <c r="E94" s="124" t="s">
        <v>218</v>
      </c>
      <c r="F94" s="139" t="s">
        <v>4613</v>
      </c>
      <c r="G94" s="124" t="s">
        <v>4537</v>
      </c>
      <c r="H94" s="124" t="s">
        <v>4550</v>
      </c>
      <c r="I94" s="124"/>
      <c r="J94" s="124"/>
      <c r="K94" s="124"/>
      <c r="L94" s="124" t="s">
        <v>4538</v>
      </c>
      <c r="M94" s="140" t="s">
        <v>4550</v>
      </c>
      <c r="N94" s="152">
        <v>1</v>
      </c>
      <c r="O94" s="142">
        <v>0.03</v>
      </c>
      <c r="P94" s="126" t="s">
        <v>4520</v>
      </c>
      <c r="Q94" s="125" t="s">
        <v>576</v>
      </c>
      <c r="R94" s="125" t="s">
        <v>576</v>
      </c>
      <c r="S94" s="141"/>
      <c r="T94" s="141">
        <v>9.1000000000000004E-3</v>
      </c>
      <c r="U94" s="139"/>
      <c r="V94" s="124">
        <v>5.0000000000000001E-3</v>
      </c>
      <c r="W94" s="139"/>
      <c r="X94" s="139"/>
      <c r="Y94" s="139">
        <v>50</v>
      </c>
      <c r="Z94" s="139"/>
      <c r="AA94" s="126" t="s">
        <v>4554</v>
      </c>
      <c r="AB94" s="125" t="s">
        <v>4600</v>
      </c>
      <c r="AC94" s="124" t="s">
        <v>4580</v>
      </c>
      <c r="AD94" s="124" t="s">
        <v>190</v>
      </c>
      <c r="AE94" s="125" t="s">
        <v>517</v>
      </c>
      <c r="AF94" s="124" t="s">
        <v>4543</v>
      </c>
    </row>
    <row r="95" spans="1:32" hidden="1" x14ac:dyDescent="0.25">
      <c r="A95" s="125" t="s">
        <v>249</v>
      </c>
      <c r="B95" s="125" t="s">
        <v>880</v>
      </c>
      <c r="C95" s="124" t="s">
        <v>4617</v>
      </c>
      <c r="D95" s="124" t="s">
        <v>4602</v>
      </c>
      <c r="E95" s="124" t="s">
        <v>218</v>
      </c>
      <c r="F95" s="139" t="s">
        <v>4613</v>
      </c>
      <c r="G95" s="124" t="s">
        <v>4560</v>
      </c>
      <c r="H95" s="124" t="s">
        <v>4550</v>
      </c>
      <c r="I95" s="124"/>
      <c r="J95" s="124"/>
      <c r="K95" s="124"/>
      <c r="L95" s="124" t="s">
        <v>4561</v>
      </c>
      <c r="M95" s="140" t="s">
        <v>4550</v>
      </c>
      <c r="N95" s="152">
        <v>1</v>
      </c>
      <c r="O95" s="142">
        <v>0.03</v>
      </c>
      <c r="P95" s="126" t="s">
        <v>4520</v>
      </c>
      <c r="Q95" s="125" t="s">
        <v>576</v>
      </c>
      <c r="R95" s="125" t="s">
        <v>576</v>
      </c>
      <c r="S95" s="141"/>
      <c r="T95" s="141">
        <v>9.1000000000000004E-3</v>
      </c>
      <c r="U95" s="139"/>
      <c r="V95" s="124">
        <v>5.0000000000000001E-3</v>
      </c>
      <c r="W95" s="139"/>
      <c r="X95" s="139"/>
      <c r="Y95" s="139">
        <v>50</v>
      </c>
      <c r="Z95" s="139"/>
      <c r="AA95" s="126" t="s">
        <v>4554</v>
      </c>
      <c r="AB95" s="125" t="s">
        <v>4600</v>
      </c>
      <c r="AC95" s="124" t="s">
        <v>4580</v>
      </c>
      <c r="AD95" s="124" t="s">
        <v>190</v>
      </c>
      <c r="AE95" s="125" t="s">
        <v>517</v>
      </c>
      <c r="AF95" s="124" t="s">
        <v>4543</v>
      </c>
    </row>
    <row r="96" spans="1:32" hidden="1" x14ac:dyDescent="0.25">
      <c r="A96" s="125" t="s">
        <v>249</v>
      </c>
      <c r="B96" s="125" t="s">
        <v>880</v>
      </c>
      <c r="C96" s="124" t="s">
        <v>4623</v>
      </c>
      <c r="D96" s="124" t="s">
        <v>4603</v>
      </c>
      <c r="E96" s="124" t="s">
        <v>218</v>
      </c>
      <c r="F96" s="139" t="s">
        <v>4614</v>
      </c>
      <c r="G96" s="124" t="s">
        <v>4537</v>
      </c>
      <c r="H96" s="124" t="s">
        <v>4550</v>
      </c>
      <c r="I96" s="124"/>
      <c r="J96" s="124"/>
      <c r="K96" s="124"/>
      <c r="L96" s="124" t="s">
        <v>4538</v>
      </c>
      <c r="M96" s="140" t="s">
        <v>4550</v>
      </c>
      <c r="N96" s="152">
        <v>1</v>
      </c>
      <c r="O96" s="142">
        <v>0.03</v>
      </c>
      <c r="P96" s="126" t="s">
        <v>4520</v>
      </c>
      <c r="Q96" s="125" t="s">
        <v>576</v>
      </c>
      <c r="R96" s="125" t="s">
        <v>576</v>
      </c>
      <c r="S96" s="141"/>
      <c r="T96" s="141">
        <v>9.1000000000000004E-3</v>
      </c>
      <c r="U96" s="139"/>
      <c r="V96" s="124">
        <v>5.0000000000000001E-3</v>
      </c>
      <c r="W96" s="139"/>
      <c r="X96" s="139"/>
      <c r="Y96" s="139">
        <v>50</v>
      </c>
      <c r="Z96" s="139"/>
      <c r="AA96" s="126" t="s">
        <v>4554</v>
      </c>
      <c r="AB96" s="125" t="s">
        <v>4600</v>
      </c>
      <c r="AC96" s="124" t="s">
        <v>4580</v>
      </c>
      <c r="AD96" s="124" t="s">
        <v>190</v>
      </c>
      <c r="AE96" s="125" t="s">
        <v>517</v>
      </c>
      <c r="AF96" s="124" t="s">
        <v>4543</v>
      </c>
    </row>
    <row r="97" spans="1:32" hidden="1" x14ac:dyDescent="0.25">
      <c r="A97" s="125" t="s">
        <v>249</v>
      </c>
      <c r="B97" s="125" t="s">
        <v>880</v>
      </c>
      <c r="C97" s="124" t="s">
        <v>4623</v>
      </c>
      <c r="D97" s="124" t="s">
        <v>4603</v>
      </c>
      <c r="E97" s="124" t="s">
        <v>218</v>
      </c>
      <c r="F97" s="139" t="s">
        <v>4614</v>
      </c>
      <c r="G97" s="124" t="s">
        <v>4560</v>
      </c>
      <c r="H97" s="124" t="s">
        <v>4550</v>
      </c>
      <c r="I97" s="124"/>
      <c r="J97" s="124"/>
      <c r="K97" s="124"/>
      <c r="L97" s="124" t="s">
        <v>4561</v>
      </c>
      <c r="M97" s="140" t="s">
        <v>4550</v>
      </c>
      <c r="N97" s="152">
        <v>1</v>
      </c>
      <c r="O97" s="142">
        <v>0.03</v>
      </c>
      <c r="P97" s="126" t="s">
        <v>4520</v>
      </c>
      <c r="Q97" s="125" t="s">
        <v>576</v>
      </c>
      <c r="R97" s="125" t="s">
        <v>576</v>
      </c>
      <c r="S97" s="141"/>
      <c r="T97" s="141">
        <v>9.1000000000000004E-3</v>
      </c>
      <c r="U97" s="139"/>
      <c r="V97" s="124">
        <v>5.0000000000000001E-3</v>
      </c>
      <c r="W97" s="139"/>
      <c r="X97" s="139"/>
      <c r="Y97" s="139">
        <v>50</v>
      </c>
      <c r="Z97" s="139"/>
      <c r="AA97" s="126" t="s">
        <v>4554</v>
      </c>
      <c r="AB97" s="125" t="s">
        <v>4600</v>
      </c>
      <c r="AC97" s="124" t="s">
        <v>4580</v>
      </c>
      <c r="AD97" s="124" t="s">
        <v>190</v>
      </c>
      <c r="AE97" s="125" t="s">
        <v>517</v>
      </c>
      <c r="AF97" s="124" t="s">
        <v>4543</v>
      </c>
    </row>
    <row r="98" spans="1:32" hidden="1" x14ac:dyDescent="0.25">
      <c r="A98" s="125" t="s">
        <v>249</v>
      </c>
      <c r="B98" s="125" t="s">
        <v>880</v>
      </c>
      <c r="C98" s="124" t="s">
        <v>4629</v>
      </c>
      <c r="D98" s="124" t="s">
        <v>4604</v>
      </c>
      <c r="E98" s="124" t="s">
        <v>218</v>
      </c>
      <c r="F98" s="139" t="s">
        <v>4592</v>
      </c>
      <c r="G98" s="124" t="s">
        <v>4537</v>
      </c>
      <c r="H98" s="124" t="s">
        <v>4550</v>
      </c>
      <c r="I98" s="124"/>
      <c r="J98" s="124"/>
      <c r="K98" s="124"/>
      <c r="L98" s="124" t="s">
        <v>4538</v>
      </c>
      <c r="M98" s="140" t="s">
        <v>4550</v>
      </c>
      <c r="N98" s="152">
        <v>1</v>
      </c>
      <c r="O98" s="142">
        <v>0.03</v>
      </c>
      <c r="P98" s="126" t="s">
        <v>4520</v>
      </c>
      <c r="Q98" s="125" t="s">
        <v>576</v>
      </c>
      <c r="R98" s="125" t="s">
        <v>576</v>
      </c>
      <c r="S98" s="141"/>
      <c r="T98" s="141">
        <v>9.1000000000000004E-3</v>
      </c>
      <c r="U98" s="139"/>
      <c r="V98" s="124">
        <v>5.0000000000000001E-3</v>
      </c>
      <c r="W98" s="139"/>
      <c r="X98" s="139"/>
      <c r="Y98" s="139">
        <v>50</v>
      </c>
      <c r="Z98" s="139"/>
      <c r="AA98" s="126" t="s">
        <v>4554</v>
      </c>
      <c r="AB98" s="125" t="s">
        <v>4600</v>
      </c>
      <c r="AC98" s="124" t="s">
        <v>4580</v>
      </c>
      <c r="AD98" s="124" t="s">
        <v>190</v>
      </c>
      <c r="AE98" s="125" t="s">
        <v>517</v>
      </c>
      <c r="AF98" s="124" t="s">
        <v>4543</v>
      </c>
    </row>
    <row r="99" spans="1:32" hidden="1" x14ac:dyDescent="0.25">
      <c r="A99" s="125" t="s">
        <v>249</v>
      </c>
      <c r="B99" s="125" t="s">
        <v>880</v>
      </c>
      <c r="C99" s="124" t="s">
        <v>4629</v>
      </c>
      <c r="D99" s="124" t="s">
        <v>4604</v>
      </c>
      <c r="E99" s="124" t="s">
        <v>218</v>
      </c>
      <c r="F99" s="139" t="s">
        <v>4592</v>
      </c>
      <c r="G99" s="124" t="s">
        <v>4560</v>
      </c>
      <c r="H99" s="124" t="s">
        <v>4550</v>
      </c>
      <c r="I99" s="124"/>
      <c r="J99" s="124"/>
      <c r="K99" s="124"/>
      <c r="L99" s="124" t="s">
        <v>4561</v>
      </c>
      <c r="M99" s="140" t="s">
        <v>4550</v>
      </c>
      <c r="N99" s="152">
        <v>1</v>
      </c>
      <c r="O99" s="142">
        <v>0.03</v>
      </c>
      <c r="P99" s="126" t="s">
        <v>4520</v>
      </c>
      <c r="Q99" s="125" t="s">
        <v>576</v>
      </c>
      <c r="R99" s="125" t="s">
        <v>576</v>
      </c>
      <c r="S99" s="141"/>
      <c r="T99" s="141">
        <v>9.1000000000000004E-3</v>
      </c>
      <c r="U99" s="139"/>
      <c r="V99" s="124">
        <v>5.0000000000000001E-3</v>
      </c>
      <c r="W99" s="139"/>
      <c r="X99" s="139"/>
      <c r="Y99" s="139">
        <v>50</v>
      </c>
      <c r="Z99" s="139"/>
      <c r="AA99" s="126" t="s">
        <v>4554</v>
      </c>
      <c r="AB99" s="125" t="s">
        <v>4600</v>
      </c>
      <c r="AC99" s="124" t="s">
        <v>4580</v>
      </c>
      <c r="AD99" s="124" t="s">
        <v>190</v>
      </c>
      <c r="AE99" s="125" t="s">
        <v>517</v>
      </c>
      <c r="AF99" s="124" t="s">
        <v>4543</v>
      </c>
    </row>
    <row r="100" spans="1:32" hidden="1" x14ac:dyDescent="0.25">
      <c r="A100" s="125" t="s">
        <v>249</v>
      </c>
      <c r="B100" s="125" t="s">
        <v>880</v>
      </c>
      <c r="C100" s="124" t="s">
        <v>4629</v>
      </c>
      <c r="D100" s="124" t="s">
        <v>4604</v>
      </c>
      <c r="E100" s="124" t="s">
        <v>218</v>
      </c>
      <c r="F100" s="139" t="s">
        <v>4595</v>
      </c>
      <c r="G100" s="124" t="s">
        <v>4537</v>
      </c>
      <c r="H100" s="124" t="s">
        <v>4550</v>
      </c>
      <c r="I100" s="124"/>
      <c r="J100" s="124"/>
      <c r="K100" s="124"/>
      <c r="L100" s="124" t="s">
        <v>4538</v>
      </c>
      <c r="M100" s="140" t="s">
        <v>4550</v>
      </c>
      <c r="N100" s="152">
        <v>1</v>
      </c>
      <c r="O100" s="142">
        <v>0.03</v>
      </c>
      <c r="P100" s="126" t="s">
        <v>4520</v>
      </c>
      <c r="Q100" s="125" t="s">
        <v>576</v>
      </c>
      <c r="R100" s="125" t="s">
        <v>576</v>
      </c>
      <c r="S100" s="141"/>
      <c r="T100" s="141">
        <v>9.1000000000000004E-3</v>
      </c>
      <c r="U100" s="139"/>
      <c r="V100" s="124">
        <v>5.0000000000000001E-3</v>
      </c>
      <c r="W100" s="139"/>
      <c r="X100" s="139"/>
      <c r="Y100" s="139">
        <v>50</v>
      </c>
      <c r="Z100" s="139"/>
      <c r="AA100" s="126" t="s">
        <v>4554</v>
      </c>
      <c r="AB100" s="125" t="s">
        <v>4600</v>
      </c>
      <c r="AC100" s="124" t="s">
        <v>4580</v>
      </c>
      <c r="AD100" s="124" t="s">
        <v>190</v>
      </c>
      <c r="AE100" s="125" t="s">
        <v>517</v>
      </c>
      <c r="AF100" s="124" t="s">
        <v>4543</v>
      </c>
    </row>
    <row r="101" spans="1:32" hidden="1" x14ac:dyDescent="0.25">
      <c r="A101" s="125" t="s">
        <v>249</v>
      </c>
      <c r="B101" s="125" t="s">
        <v>880</v>
      </c>
      <c r="C101" s="124" t="s">
        <v>4629</v>
      </c>
      <c r="D101" s="124" t="s">
        <v>4604</v>
      </c>
      <c r="E101" s="124" t="s">
        <v>218</v>
      </c>
      <c r="F101" s="139" t="s">
        <v>4595</v>
      </c>
      <c r="G101" s="124" t="s">
        <v>4560</v>
      </c>
      <c r="H101" s="124" t="s">
        <v>4550</v>
      </c>
      <c r="I101" s="124"/>
      <c r="J101" s="124"/>
      <c r="K101" s="124"/>
      <c r="L101" s="124" t="s">
        <v>4561</v>
      </c>
      <c r="M101" s="140" t="s">
        <v>4550</v>
      </c>
      <c r="N101" s="152">
        <v>1</v>
      </c>
      <c r="O101" s="142">
        <v>0.03</v>
      </c>
      <c r="P101" s="126" t="s">
        <v>4520</v>
      </c>
      <c r="Q101" s="125" t="s">
        <v>576</v>
      </c>
      <c r="R101" s="125" t="s">
        <v>576</v>
      </c>
      <c r="S101" s="141"/>
      <c r="T101" s="141">
        <v>9.1000000000000004E-3</v>
      </c>
      <c r="U101" s="139"/>
      <c r="V101" s="124">
        <v>5.0000000000000001E-3</v>
      </c>
      <c r="W101" s="139"/>
      <c r="X101" s="139"/>
      <c r="Y101" s="139">
        <v>50</v>
      </c>
      <c r="Z101" s="139"/>
      <c r="AA101" s="126" t="s">
        <v>4554</v>
      </c>
      <c r="AB101" s="125" t="s">
        <v>4600</v>
      </c>
      <c r="AC101" s="124" t="s">
        <v>4580</v>
      </c>
      <c r="AD101" s="124" t="s">
        <v>190</v>
      </c>
      <c r="AE101" s="125" t="s">
        <v>517</v>
      </c>
      <c r="AF101" s="124" t="s">
        <v>4543</v>
      </c>
    </row>
    <row r="102" spans="1:32" hidden="1" x14ac:dyDescent="0.25">
      <c r="A102" s="125" t="s">
        <v>249</v>
      </c>
      <c r="B102" s="125" t="s">
        <v>880</v>
      </c>
      <c r="C102" s="124" t="s">
        <v>4618</v>
      </c>
      <c r="D102" s="124" t="s">
        <v>4605</v>
      </c>
      <c r="E102" s="124" t="s">
        <v>218</v>
      </c>
      <c r="F102" s="139" t="s">
        <v>4534</v>
      </c>
      <c r="G102" s="124" t="s">
        <v>4537</v>
      </c>
      <c r="H102" s="124" t="s">
        <v>4550</v>
      </c>
      <c r="I102" s="124"/>
      <c r="J102" s="124"/>
      <c r="K102" s="124"/>
      <c r="L102" s="124" t="s">
        <v>4538</v>
      </c>
      <c r="M102" s="140" t="s">
        <v>4550</v>
      </c>
      <c r="N102" s="152">
        <v>1</v>
      </c>
      <c r="O102" s="142">
        <v>0.03</v>
      </c>
      <c r="P102" s="126" t="s">
        <v>4520</v>
      </c>
      <c r="Q102" s="125" t="s">
        <v>576</v>
      </c>
      <c r="R102" s="125" t="s">
        <v>576</v>
      </c>
      <c r="S102" s="141"/>
      <c r="T102" s="141">
        <v>7.7999999999999996E-3</v>
      </c>
      <c r="U102" s="139"/>
      <c r="V102" s="124">
        <v>5.0000000000000001E-3</v>
      </c>
      <c r="W102" s="139"/>
      <c r="X102" s="139"/>
      <c r="Y102" s="139">
        <v>50</v>
      </c>
      <c r="Z102" s="139"/>
      <c r="AA102" s="126" t="s">
        <v>4554</v>
      </c>
      <c r="AB102" s="125" t="s">
        <v>4600</v>
      </c>
      <c r="AC102" s="124" t="s">
        <v>4580</v>
      </c>
      <c r="AD102" s="124" t="s">
        <v>190</v>
      </c>
      <c r="AE102" s="125" t="s">
        <v>517</v>
      </c>
      <c r="AF102" s="124" t="s">
        <v>4543</v>
      </c>
    </row>
    <row r="103" spans="1:32" hidden="1" x14ac:dyDescent="0.25">
      <c r="A103" s="125" t="s">
        <v>249</v>
      </c>
      <c r="B103" s="125" t="s">
        <v>880</v>
      </c>
      <c r="C103" s="124" t="s">
        <v>4618</v>
      </c>
      <c r="D103" s="124" t="s">
        <v>4605</v>
      </c>
      <c r="E103" s="124" t="s">
        <v>218</v>
      </c>
      <c r="F103" s="139" t="s">
        <v>4534</v>
      </c>
      <c r="G103" s="124" t="s">
        <v>4560</v>
      </c>
      <c r="H103" s="124" t="s">
        <v>4550</v>
      </c>
      <c r="I103" s="124"/>
      <c r="J103" s="124"/>
      <c r="K103" s="124"/>
      <c r="L103" s="124" t="s">
        <v>4561</v>
      </c>
      <c r="M103" s="140" t="s">
        <v>4550</v>
      </c>
      <c r="N103" s="152">
        <v>1</v>
      </c>
      <c r="O103" s="142">
        <v>0.03</v>
      </c>
      <c r="P103" s="126" t="s">
        <v>4520</v>
      </c>
      <c r="Q103" s="125" t="s">
        <v>576</v>
      </c>
      <c r="R103" s="125" t="s">
        <v>576</v>
      </c>
      <c r="S103" s="141"/>
      <c r="T103" s="141">
        <v>7.7999999999999996E-3</v>
      </c>
      <c r="U103" s="139"/>
      <c r="V103" s="124">
        <v>5.0000000000000001E-3</v>
      </c>
      <c r="W103" s="139"/>
      <c r="X103" s="139"/>
      <c r="Y103" s="139">
        <v>50</v>
      </c>
      <c r="Z103" s="139"/>
      <c r="AA103" s="126" t="s">
        <v>4554</v>
      </c>
      <c r="AB103" s="125" t="s">
        <v>4600</v>
      </c>
      <c r="AC103" s="124" t="s">
        <v>4580</v>
      </c>
      <c r="AD103" s="124" t="s">
        <v>190</v>
      </c>
      <c r="AE103" s="125" t="s">
        <v>517</v>
      </c>
      <c r="AF103" s="124" t="s">
        <v>4543</v>
      </c>
    </row>
    <row r="104" spans="1:32" hidden="1" x14ac:dyDescent="0.25">
      <c r="A104" s="125" t="s">
        <v>249</v>
      </c>
      <c r="B104" s="125" t="s">
        <v>880</v>
      </c>
      <c r="C104" s="124" t="s">
        <v>4624</v>
      </c>
      <c r="D104" s="124" t="s">
        <v>4606</v>
      </c>
      <c r="E104" s="124" t="s">
        <v>218</v>
      </c>
      <c r="F104" s="139" t="s">
        <v>4589</v>
      </c>
      <c r="G104" s="124" t="s">
        <v>4537</v>
      </c>
      <c r="H104" s="124" t="s">
        <v>4550</v>
      </c>
      <c r="I104" s="124"/>
      <c r="J104" s="124"/>
      <c r="K104" s="124"/>
      <c r="L104" s="124" t="s">
        <v>4538</v>
      </c>
      <c r="M104" s="140" t="s">
        <v>4550</v>
      </c>
      <c r="N104" s="152">
        <v>1</v>
      </c>
      <c r="O104" s="142">
        <v>0.03</v>
      </c>
      <c r="P104" s="126" t="s">
        <v>4520</v>
      </c>
      <c r="Q104" s="125" t="s">
        <v>576</v>
      </c>
      <c r="R104" s="125" t="s">
        <v>576</v>
      </c>
      <c r="S104" s="141"/>
      <c r="T104" s="141">
        <v>7.7999999999999996E-3</v>
      </c>
      <c r="U104" s="139"/>
      <c r="V104" s="124">
        <v>5.0000000000000001E-3</v>
      </c>
      <c r="W104" s="139"/>
      <c r="X104" s="139"/>
      <c r="Y104" s="139">
        <v>50</v>
      </c>
      <c r="Z104" s="139"/>
      <c r="AA104" s="126" t="s">
        <v>4554</v>
      </c>
      <c r="AB104" s="125" t="s">
        <v>4600</v>
      </c>
      <c r="AC104" s="124" t="s">
        <v>4580</v>
      </c>
      <c r="AD104" s="124" t="s">
        <v>190</v>
      </c>
      <c r="AE104" s="125" t="s">
        <v>517</v>
      </c>
      <c r="AF104" s="124" t="s">
        <v>4543</v>
      </c>
    </row>
    <row r="105" spans="1:32" hidden="1" x14ac:dyDescent="0.25">
      <c r="A105" s="125" t="s">
        <v>249</v>
      </c>
      <c r="B105" s="125" t="s">
        <v>880</v>
      </c>
      <c r="C105" s="124" t="s">
        <v>4624</v>
      </c>
      <c r="D105" s="124" t="s">
        <v>4606</v>
      </c>
      <c r="E105" s="124" t="s">
        <v>218</v>
      </c>
      <c r="F105" s="139" t="s">
        <v>4589</v>
      </c>
      <c r="G105" s="124" t="s">
        <v>4560</v>
      </c>
      <c r="H105" s="124" t="s">
        <v>4550</v>
      </c>
      <c r="I105" s="124"/>
      <c r="J105" s="124"/>
      <c r="K105" s="124"/>
      <c r="L105" s="124" t="s">
        <v>4561</v>
      </c>
      <c r="M105" s="140" t="s">
        <v>4550</v>
      </c>
      <c r="N105" s="152">
        <v>1</v>
      </c>
      <c r="O105" s="142">
        <v>0.03</v>
      </c>
      <c r="P105" s="126" t="s">
        <v>4520</v>
      </c>
      <c r="Q105" s="125" t="s">
        <v>576</v>
      </c>
      <c r="R105" s="125" t="s">
        <v>576</v>
      </c>
      <c r="S105" s="141"/>
      <c r="T105" s="141">
        <v>7.7999999999999996E-3</v>
      </c>
      <c r="U105" s="139"/>
      <c r="V105" s="124">
        <v>5.0000000000000001E-3</v>
      </c>
      <c r="W105" s="139"/>
      <c r="X105" s="139"/>
      <c r="Y105" s="139">
        <v>50</v>
      </c>
      <c r="Z105" s="139"/>
      <c r="AA105" s="126" t="s">
        <v>4554</v>
      </c>
      <c r="AB105" s="125" t="s">
        <v>4600</v>
      </c>
      <c r="AC105" s="124" t="s">
        <v>4580</v>
      </c>
      <c r="AD105" s="124" t="s">
        <v>190</v>
      </c>
      <c r="AE105" s="125" t="s">
        <v>517</v>
      </c>
      <c r="AF105" s="124" t="s">
        <v>4543</v>
      </c>
    </row>
    <row r="106" spans="1:32" hidden="1" x14ac:dyDescent="0.25">
      <c r="A106" s="125" t="s">
        <v>249</v>
      </c>
      <c r="B106" s="125" t="s">
        <v>880</v>
      </c>
      <c r="C106" s="124" t="s">
        <v>4630</v>
      </c>
      <c r="D106" s="124" t="s">
        <v>4607</v>
      </c>
      <c r="E106" s="124" t="s">
        <v>218</v>
      </c>
      <c r="F106" s="139" t="s">
        <v>4592</v>
      </c>
      <c r="G106" s="124" t="s">
        <v>4537</v>
      </c>
      <c r="H106" s="124" t="s">
        <v>4550</v>
      </c>
      <c r="I106" s="124"/>
      <c r="J106" s="124"/>
      <c r="K106" s="124"/>
      <c r="L106" s="124" t="s">
        <v>4538</v>
      </c>
      <c r="M106" s="140" t="s">
        <v>4550</v>
      </c>
      <c r="N106" s="152">
        <v>1</v>
      </c>
      <c r="O106" s="142">
        <v>0.03</v>
      </c>
      <c r="P106" s="126" t="s">
        <v>4520</v>
      </c>
      <c r="Q106" s="125" t="s">
        <v>576</v>
      </c>
      <c r="R106" s="125" t="s">
        <v>576</v>
      </c>
      <c r="S106" s="141"/>
      <c r="T106" s="141">
        <v>1.95E-2</v>
      </c>
      <c r="U106" s="139"/>
      <c r="V106" s="124">
        <v>5.0000000000000001E-3</v>
      </c>
      <c r="W106" s="139"/>
      <c r="X106" s="139"/>
      <c r="Y106" s="139">
        <v>50</v>
      </c>
      <c r="Z106" s="139"/>
      <c r="AA106" s="126" t="s">
        <v>4554</v>
      </c>
      <c r="AB106" s="125" t="s">
        <v>4600</v>
      </c>
      <c r="AC106" s="124" t="s">
        <v>4580</v>
      </c>
      <c r="AD106" s="124" t="s">
        <v>190</v>
      </c>
      <c r="AE106" s="125" t="s">
        <v>517</v>
      </c>
      <c r="AF106" s="124" t="s">
        <v>4543</v>
      </c>
    </row>
    <row r="107" spans="1:32" hidden="1" x14ac:dyDescent="0.25">
      <c r="A107" s="125" t="s">
        <v>249</v>
      </c>
      <c r="B107" s="125" t="s">
        <v>880</v>
      </c>
      <c r="C107" s="124" t="s">
        <v>4630</v>
      </c>
      <c r="D107" s="124" t="s">
        <v>4607</v>
      </c>
      <c r="E107" s="124" t="s">
        <v>218</v>
      </c>
      <c r="F107" s="139" t="s">
        <v>4592</v>
      </c>
      <c r="G107" s="124" t="s">
        <v>4560</v>
      </c>
      <c r="H107" s="124" t="s">
        <v>4550</v>
      </c>
      <c r="I107" s="124"/>
      <c r="J107" s="124"/>
      <c r="K107" s="124"/>
      <c r="L107" s="124" t="s">
        <v>4561</v>
      </c>
      <c r="M107" s="140" t="s">
        <v>4550</v>
      </c>
      <c r="N107" s="152">
        <v>1</v>
      </c>
      <c r="O107" s="142">
        <v>0.03</v>
      </c>
      <c r="P107" s="126" t="s">
        <v>4520</v>
      </c>
      <c r="Q107" s="125" t="s">
        <v>576</v>
      </c>
      <c r="R107" s="125" t="s">
        <v>576</v>
      </c>
      <c r="S107" s="141"/>
      <c r="T107" s="141">
        <v>1.95E-2</v>
      </c>
      <c r="U107" s="139"/>
      <c r="V107" s="124">
        <v>5.0000000000000001E-3</v>
      </c>
      <c r="W107" s="139"/>
      <c r="X107" s="139"/>
      <c r="Y107" s="139">
        <v>50</v>
      </c>
      <c r="Z107" s="139"/>
      <c r="AA107" s="126" t="s">
        <v>4554</v>
      </c>
      <c r="AB107" s="125" t="s">
        <v>4600</v>
      </c>
      <c r="AC107" s="124" t="s">
        <v>4580</v>
      </c>
      <c r="AD107" s="124" t="s">
        <v>190</v>
      </c>
      <c r="AE107" s="125" t="s">
        <v>517</v>
      </c>
      <c r="AF107" s="124" t="s">
        <v>4543</v>
      </c>
    </row>
    <row r="108" spans="1:32" hidden="1" x14ac:dyDescent="0.25">
      <c r="A108" s="125" t="s">
        <v>249</v>
      </c>
      <c r="B108" s="125" t="s">
        <v>880</v>
      </c>
      <c r="C108" s="124" t="s">
        <v>4630</v>
      </c>
      <c r="D108" s="124" t="s">
        <v>4607</v>
      </c>
      <c r="E108" s="124" t="s">
        <v>218</v>
      </c>
      <c r="F108" s="139" t="s">
        <v>4595</v>
      </c>
      <c r="G108" s="124" t="s">
        <v>4537</v>
      </c>
      <c r="H108" s="124" t="s">
        <v>4550</v>
      </c>
      <c r="I108" s="124"/>
      <c r="J108" s="124"/>
      <c r="K108" s="124"/>
      <c r="L108" s="124" t="s">
        <v>4538</v>
      </c>
      <c r="M108" s="140" t="s">
        <v>4550</v>
      </c>
      <c r="N108" s="152">
        <v>1</v>
      </c>
      <c r="O108" s="142">
        <v>0.03</v>
      </c>
      <c r="P108" s="126" t="s">
        <v>4520</v>
      </c>
      <c r="Q108" s="125" t="s">
        <v>576</v>
      </c>
      <c r="R108" s="125" t="s">
        <v>576</v>
      </c>
      <c r="S108" s="141"/>
      <c r="T108" s="141">
        <v>1.95E-2</v>
      </c>
      <c r="U108" s="139"/>
      <c r="V108" s="124">
        <v>5.0000000000000001E-3</v>
      </c>
      <c r="W108" s="139"/>
      <c r="X108" s="139"/>
      <c r="Y108" s="139">
        <v>50</v>
      </c>
      <c r="Z108" s="139"/>
      <c r="AA108" s="126" t="s">
        <v>4554</v>
      </c>
      <c r="AB108" s="125" t="s">
        <v>4600</v>
      </c>
      <c r="AC108" s="124" t="s">
        <v>4580</v>
      </c>
      <c r="AD108" s="124" t="s">
        <v>190</v>
      </c>
      <c r="AE108" s="125" t="s">
        <v>517</v>
      </c>
      <c r="AF108" s="124" t="s">
        <v>4543</v>
      </c>
    </row>
    <row r="109" spans="1:32" hidden="1" x14ac:dyDescent="0.25">
      <c r="A109" s="125" t="s">
        <v>249</v>
      </c>
      <c r="B109" s="125" t="s">
        <v>880</v>
      </c>
      <c r="C109" s="124" t="s">
        <v>4630</v>
      </c>
      <c r="D109" s="124" t="s">
        <v>4607</v>
      </c>
      <c r="E109" s="124" t="s">
        <v>218</v>
      </c>
      <c r="F109" s="139" t="s">
        <v>4595</v>
      </c>
      <c r="G109" s="124" t="s">
        <v>4560</v>
      </c>
      <c r="H109" s="124" t="s">
        <v>4550</v>
      </c>
      <c r="I109" s="124"/>
      <c r="J109" s="124"/>
      <c r="K109" s="124"/>
      <c r="L109" s="124" t="s">
        <v>4561</v>
      </c>
      <c r="M109" s="140" t="s">
        <v>4550</v>
      </c>
      <c r="N109" s="152">
        <v>1</v>
      </c>
      <c r="O109" s="142">
        <v>0.03</v>
      </c>
      <c r="P109" s="126" t="s">
        <v>4520</v>
      </c>
      <c r="Q109" s="125" t="s">
        <v>576</v>
      </c>
      <c r="R109" s="125" t="s">
        <v>576</v>
      </c>
      <c r="S109" s="141"/>
      <c r="T109" s="141">
        <v>1.95E-2</v>
      </c>
      <c r="U109" s="139"/>
      <c r="V109" s="124">
        <v>5.0000000000000001E-3</v>
      </c>
      <c r="W109" s="139"/>
      <c r="X109" s="139"/>
      <c r="Y109" s="139">
        <v>50</v>
      </c>
      <c r="Z109" s="139"/>
      <c r="AA109" s="126" t="s">
        <v>4554</v>
      </c>
      <c r="AB109" s="125" t="s">
        <v>4600</v>
      </c>
      <c r="AC109" s="124" t="s">
        <v>4580</v>
      </c>
      <c r="AD109" s="124" t="s">
        <v>190</v>
      </c>
      <c r="AE109" s="125" t="s">
        <v>517</v>
      </c>
      <c r="AF109" s="124" t="s">
        <v>4543</v>
      </c>
    </row>
    <row r="110" spans="1:32" hidden="1" x14ac:dyDescent="0.25">
      <c r="A110" s="125" t="s">
        <v>249</v>
      </c>
      <c r="B110" s="125" t="s">
        <v>703</v>
      </c>
      <c r="C110" s="124" t="s">
        <v>4610</v>
      </c>
      <c r="D110" s="124" t="s">
        <v>4610</v>
      </c>
      <c r="E110" s="124" t="s">
        <v>218</v>
      </c>
      <c r="F110" s="139" t="s">
        <v>4550</v>
      </c>
      <c r="G110" s="124" t="s">
        <v>4550</v>
      </c>
      <c r="H110" s="124"/>
      <c r="I110" s="124"/>
      <c r="J110" s="124"/>
      <c r="K110" s="124"/>
      <c r="L110" s="124"/>
      <c r="M110" s="140"/>
      <c r="N110" s="152">
        <v>1</v>
      </c>
      <c r="O110" s="142">
        <v>0.03</v>
      </c>
      <c r="P110" s="126" t="s">
        <v>4520</v>
      </c>
      <c r="Q110" s="125" t="s">
        <v>576</v>
      </c>
      <c r="R110" s="125" t="s">
        <v>576</v>
      </c>
      <c r="S110" s="141"/>
      <c r="T110" s="141">
        <v>5.0000000000000001E-3</v>
      </c>
      <c r="U110" s="139"/>
      <c r="V110" s="124"/>
      <c r="W110" s="139"/>
      <c r="X110" s="139"/>
      <c r="Y110" s="139"/>
      <c r="Z110" s="139"/>
      <c r="AA110" s="126" t="s">
        <v>4554</v>
      </c>
      <c r="AB110" s="125" t="s">
        <v>4609</v>
      </c>
      <c r="AC110" s="124" t="s">
        <v>4608</v>
      </c>
      <c r="AD110" s="125" t="s">
        <v>497</v>
      </c>
      <c r="AE110" s="125" t="s">
        <v>624</v>
      </c>
      <c r="AF110" s="124" t="s">
        <v>4543</v>
      </c>
    </row>
    <row r="111" spans="1:32" ht="10.5" hidden="1" customHeight="1" x14ac:dyDescent="0.25">
      <c r="A111" s="125" t="s">
        <v>249</v>
      </c>
      <c r="B111" s="125" t="s">
        <v>880</v>
      </c>
      <c r="C111" s="124" t="s">
        <v>4611</v>
      </c>
      <c r="D111" s="124" t="s">
        <v>4612</v>
      </c>
      <c r="E111" s="124" t="s">
        <v>218</v>
      </c>
      <c r="F111" s="139" t="s">
        <v>4534</v>
      </c>
      <c r="G111" s="124" t="s">
        <v>4537</v>
      </c>
      <c r="H111" s="124" t="s">
        <v>4550</v>
      </c>
      <c r="I111" s="124"/>
      <c r="J111" s="124"/>
      <c r="K111" s="124"/>
      <c r="L111" s="124" t="s">
        <v>4538</v>
      </c>
      <c r="M111" s="140" t="s">
        <v>4550</v>
      </c>
      <c r="N111" s="152">
        <v>1</v>
      </c>
      <c r="O111" s="142">
        <v>0.03</v>
      </c>
      <c r="P111" s="126" t="s">
        <v>4520</v>
      </c>
      <c r="Q111" s="125" t="s">
        <v>576</v>
      </c>
      <c r="R111" s="125" t="s">
        <v>576</v>
      </c>
      <c r="S111" s="141"/>
      <c r="T111" s="141">
        <v>7.7999999999999996E-3</v>
      </c>
      <c r="U111" s="139"/>
      <c r="V111" s="124">
        <v>5.0000000000000001E-3</v>
      </c>
      <c r="W111" s="139"/>
      <c r="X111" s="139"/>
      <c r="Y111" s="139">
        <v>50</v>
      </c>
      <c r="Z111" s="139"/>
      <c r="AA111" s="126" t="s">
        <v>4554</v>
      </c>
      <c r="AB111" s="125" t="s">
        <v>4600</v>
      </c>
      <c r="AC111" s="124" t="s">
        <v>4580</v>
      </c>
      <c r="AD111" s="124" t="s">
        <v>190</v>
      </c>
      <c r="AE111" s="125" t="s">
        <v>517</v>
      </c>
      <c r="AF111" s="124" t="s">
        <v>4543</v>
      </c>
    </row>
    <row r="112" spans="1:32" ht="12" hidden="1" customHeight="1" x14ac:dyDescent="0.25">
      <c r="A112" s="125" t="s">
        <v>249</v>
      </c>
      <c r="B112" s="125" t="s">
        <v>880</v>
      </c>
      <c r="C112" s="124" t="s">
        <v>4611</v>
      </c>
      <c r="D112" s="124" t="s">
        <v>4612</v>
      </c>
      <c r="E112" s="124" t="s">
        <v>218</v>
      </c>
      <c r="F112" s="139" t="s">
        <v>4534</v>
      </c>
      <c r="G112" s="124" t="s">
        <v>4560</v>
      </c>
      <c r="H112" s="124" t="s">
        <v>4550</v>
      </c>
      <c r="I112" s="124"/>
      <c r="J112" s="124"/>
      <c r="K112" s="124"/>
      <c r="L112" s="124" t="s">
        <v>4561</v>
      </c>
      <c r="M112" s="140" t="s">
        <v>4550</v>
      </c>
      <c r="N112" s="152">
        <v>1</v>
      </c>
      <c r="O112" s="142">
        <v>0.03</v>
      </c>
      <c r="P112" s="126" t="s">
        <v>4520</v>
      </c>
      <c r="Q112" s="125" t="s">
        <v>576</v>
      </c>
      <c r="R112" s="125" t="s">
        <v>576</v>
      </c>
      <c r="S112" s="141"/>
      <c r="T112" s="141">
        <v>7.7999999999999996E-3</v>
      </c>
      <c r="U112" s="139"/>
      <c r="V112" s="124">
        <v>5.0000000000000001E-3</v>
      </c>
      <c r="W112" s="139"/>
      <c r="X112" s="139"/>
      <c r="Y112" s="139">
        <v>50</v>
      </c>
      <c r="Z112" s="139"/>
      <c r="AA112" s="126" t="s">
        <v>4554</v>
      </c>
      <c r="AB112" s="125" t="s">
        <v>4600</v>
      </c>
      <c r="AC112" s="124" t="s">
        <v>4580</v>
      </c>
      <c r="AD112" s="124" t="s">
        <v>190</v>
      </c>
      <c r="AE112" s="125" t="s">
        <v>517</v>
      </c>
      <c r="AF112" s="124" t="s">
        <v>4543</v>
      </c>
    </row>
    <row r="113" spans="10:10" x14ac:dyDescent="0.25">
      <c r="J113" s="161">
        <f>SUBTOTAL(9,J24:J112)</f>
        <v>45.940595999999999</v>
      </c>
    </row>
  </sheetData>
  <autoFilter ref="A13:XEW112">
    <filterColumn colId="0">
      <filters>
        <filter val="Fabric"/>
      </filters>
    </filterColumn>
    <filterColumn colId="3">
      <filters>
        <filter val="WEFT 100% COT SJ SOLID 115GSM 59&quot;-LPSJ184703"/>
      </filters>
    </filterColumn>
    <filterColumn colId="6">
      <filters>
        <filter val="BLACK -  001001"/>
      </filters>
    </filterColumn>
  </autoFilter>
  <dataConsolidate/>
  <dataValidations count="5">
    <dataValidation type="textLength" operator="lessThanOrEqual" allowBlank="1" showInputMessage="1" showErrorMessage="1" errorTitle="Input Sheet Validation" error="Please use maximum 8 decimal" sqref="T14:T33">
      <formula1>10</formula1>
    </dataValidation>
    <dataValidation type="textLength" operator="lessThanOrEqual" allowBlank="1" showInputMessage="1" showErrorMessage="1" errorTitle="Input Sheet Validation" error="Use Maximum 30 Characters." sqref="L14:M33 C14:C33 H14:H53 I14:J23 I28:J53">
      <formula1>30</formula1>
    </dataValidation>
    <dataValidation type="textLength" operator="lessThanOrEqual" allowBlank="1" showInputMessage="1" showErrorMessage="1" errorTitle="Input Sheet Validation" error="Please use maximum 50 Characters and 10 Characters with  RM Refferance. " sqref="F14:F53 D14:D33 D79:D80">
      <formula1>60</formula1>
    </dataValidation>
    <dataValidation type="textLength" operator="lessThanOrEqual" allowBlank="1" showInputMessage="1" showErrorMessage="1" errorTitle="Input Sheet Validation" error="Please use maximum 4 decimal" sqref="V14:W33">
      <formula1>6</formula1>
    </dataValidation>
    <dataValidation type="textLength" operator="lessThanOrEqual" allowBlank="1" showInputMessage="1" showErrorMessage="1" errorTitle="Input Sheet Validation" error="Please use maximum 6 decimal places for consumption" sqref="N14:N33">
      <formula1>8</formula1>
    </dataValidation>
  </dataValidations>
  <pageMargins left="0.7" right="0.7" top="0.75" bottom="0.75" header="0.3" footer="0.3"/>
  <pageSetup scale="73" orientation="landscape" r:id="rId1"/>
  <drawing r:id="rId2"/>
  <legacyDrawing r:id="rId3"/>
  <controls>
    <mc:AlternateContent xmlns:mc="http://schemas.openxmlformats.org/markup-compatibility/2006">
      <mc:Choice Requires="x14">
        <control shapeId="1025" r:id="rId4" name="ComboBox7">
          <controlPr defaultSize="0" autoLine="0" r:id="rId5">
            <anchor moveWithCells="1" sizeWithCells="1">
              <from>
                <xdr:col>2</xdr:col>
                <xdr:colOff>1704975</xdr:colOff>
                <xdr:row>0</xdr:row>
                <xdr:rowOff>0</xdr:rowOff>
              </from>
              <to>
                <xdr:col>3</xdr:col>
                <xdr:colOff>1952625</xdr:colOff>
                <xdr:row>1</xdr:row>
                <xdr:rowOff>9525</xdr:rowOff>
              </to>
            </anchor>
          </controlPr>
        </control>
      </mc:Choice>
      <mc:Fallback>
        <control shapeId="1025" r:id="rId4" name="ComboBox7"/>
      </mc:Fallback>
    </mc:AlternateContent>
    <mc:AlternateContent xmlns:mc="http://schemas.openxmlformats.org/markup-compatibility/2006">
      <mc:Choice Requires="x14">
        <control shapeId="1026" r:id="rId6" name="ComboBox8">
          <controlPr defaultSize="0" autoLine="0" r:id="rId7">
            <anchor moveWithCells="1" sizeWithCells="1">
              <from>
                <xdr:col>2</xdr:col>
                <xdr:colOff>1714500</xdr:colOff>
                <xdr:row>1</xdr:row>
                <xdr:rowOff>76200</xdr:rowOff>
              </from>
              <to>
                <xdr:col>3</xdr:col>
                <xdr:colOff>1924050</xdr:colOff>
                <xdr:row>2</xdr:row>
                <xdr:rowOff>161925</xdr:rowOff>
              </to>
            </anchor>
          </controlPr>
        </control>
      </mc:Choice>
      <mc:Fallback>
        <control shapeId="1026" r:id="rId6" name="ComboBox8"/>
      </mc:Fallback>
    </mc:AlternateContent>
    <mc:AlternateContent xmlns:mc="http://schemas.openxmlformats.org/markup-compatibility/2006">
      <mc:Choice Requires="x14">
        <control shapeId="1027" r:id="rId8" name="ComboBox3">
          <controlPr defaultSize="0" autoLine="0" r:id="rId9">
            <anchor moveWithCells="1" sizeWithCells="1">
              <from>
                <xdr:col>2</xdr:col>
                <xdr:colOff>1724025</xdr:colOff>
                <xdr:row>3</xdr:row>
                <xdr:rowOff>9525</xdr:rowOff>
              </from>
              <to>
                <xdr:col>3</xdr:col>
                <xdr:colOff>1914525</xdr:colOff>
                <xdr:row>4</xdr:row>
                <xdr:rowOff>104775</xdr:rowOff>
              </to>
            </anchor>
          </controlPr>
        </control>
      </mc:Choice>
      <mc:Fallback>
        <control shapeId="1027" r:id="rId8" name="ComboBox3"/>
      </mc:Fallback>
    </mc:AlternateContent>
    <mc:AlternateContent xmlns:mc="http://schemas.openxmlformats.org/markup-compatibility/2006">
      <mc:Choice Requires="x14">
        <control shapeId="1028" r:id="rId10" name="ComboBox4">
          <controlPr defaultSize="0" autoLine="0" r:id="rId11">
            <anchor moveWithCells="1" sizeWithCells="1">
              <from>
                <xdr:col>2</xdr:col>
                <xdr:colOff>1724025</xdr:colOff>
                <xdr:row>4</xdr:row>
                <xdr:rowOff>133350</xdr:rowOff>
              </from>
              <to>
                <xdr:col>3</xdr:col>
                <xdr:colOff>1924050</xdr:colOff>
                <xdr:row>6</xdr:row>
                <xdr:rowOff>47625</xdr:rowOff>
              </to>
            </anchor>
          </controlPr>
        </control>
      </mc:Choice>
      <mc:Fallback>
        <control shapeId="1028" r:id="rId10" name="ComboBox4"/>
      </mc:Fallback>
    </mc:AlternateContent>
    <mc:AlternateContent xmlns:mc="http://schemas.openxmlformats.org/markup-compatibility/2006">
      <mc:Choice Requires="x14">
        <control shapeId="1029" r:id="rId12" name="ComboBox5">
          <controlPr defaultSize="0" autoLine="0" r:id="rId13">
            <anchor moveWithCells="1" sizeWithCells="1">
              <from>
                <xdr:col>2</xdr:col>
                <xdr:colOff>1743075</xdr:colOff>
                <xdr:row>6</xdr:row>
                <xdr:rowOff>114300</xdr:rowOff>
              </from>
              <to>
                <xdr:col>3</xdr:col>
                <xdr:colOff>1924050</xdr:colOff>
                <xdr:row>8</xdr:row>
                <xdr:rowOff>9525</xdr:rowOff>
              </to>
            </anchor>
          </controlPr>
        </control>
      </mc:Choice>
      <mc:Fallback>
        <control shapeId="1029" r:id="rId12" name="ComboBox5"/>
      </mc:Fallback>
    </mc:AlternateContent>
    <mc:AlternateContent xmlns:mc="http://schemas.openxmlformats.org/markup-compatibility/2006">
      <mc:Choice Requires="x14">
        <control shapeId="1030" r:id="rId14" name="ComboBox6">
          <controlPr defaultSize="0" autoLine="0" r:id="rId15">
            <anchor moveWithCells="1" sizeWithCells="1">
              <from>
                <xdr:col>2</xdr:col>
                <xdr:colOff>1743075</xdr:colOff>
                <xdr:row>8</xdr:row>
                <xdr:rowOff>66675</xdr:rowOff>
              </from>
              <to>
                <xdr:col>3</xdr:col>
                <xdr:colOff>1943100</xdr:colOff>
                <xdr:row>9</xdr:row>
                <xdr:rowOff>161925</xdr:rowOff>
              </to>
            </anchor>
          </controlPr>
        </control>
      </mc:Choice>
      <mc:Fallback>
        <control shapeId="1030" r:id="rId14" name="ComboBox6"/>
      </mc:Fallback>
    </mc:AlternateContent>
    <mc:AlternateContent xmlns:mc="http://schemas.openxmlformats.org/markup-compatibility/2006">
      <mc:Choice Requires="x14">
        <control shapeId="1031" r:id="rId16" name="TextBox1">
          <controlPr defaultSize="0" autoLine="0" r:id="rId17">
            <anchor moveWithCells="1" sizeWithCells="1">
              <from>
                <xdr:col>2</xdr:col>
                <xdr:colOff>581025</xdr:colOff>
                <xdr:row>10</xdr:row>
                <xdr:rowOff>104775</xdr:rowOff>
              </from>
              <to>
                <xdr:col>3</xdr:col>
                <xdr:colOff>2486025</xdr:colOff>
                <xdr:row>11</xdr:row>
                <xdr:rowOff>171450</xdr:rowOff>
              </to>
            </anchor>
          </controlPr>
        </control>
      </mc:Choice>
      <mc:Fallback>
        <control shapeId="1031" r:id="rId16" name="TextBox1"/>
      </mc:Fallback>
    </mc:AlternateContent>
    <mc:AlternateContent xmlns:mc="http://schemas.openxmlformats.org/markup-compatibility/2006">
      <mc:Choice Requires="x14">
        <control shapeId="1032" r:id="rId18" name="TextBox2">
          <controlPr defaultSize="0" autoLine="0" r:id="rId19">
            <anchor moveWithCells="1" sizeWithCells="1">
              <from>
                <xdr:col>2</xdr:col>
                <xdr:colOff>0</xdr:colOff>
                <xdr:row>10</xdr:row>
                <xdr:rowOff>66675</xdr:rowOff>
              </from>
              <to>
                <xdr:col>2</xdr:col>
                <xdr:colOff>561975</xdr:colOff>
                <xdr:row>12</xdr:row>
                <xdr:rowOff>19050</xdr:rowOff>
              </to>
            </anchor>
          </controlPr>
        </control>
      </mc:Choice>
      <mc:Fallback>
        <control shapeId="1032" r:id="rId18" name="TextBox2"/>
      </mc:Fallback>
    </mc:AlternateContent>
    <mc:AlternateContent xmlns:mc="http://schemas.openxmlformats.org/markup-compatibility/2006">
      <mc:Choice Requires="x14">
        <control shapeId="1033" r:id="rId20" name="Label1">
          <controlPr defaultSize="0" autoLine="0" r:id="rId21">
            <anchor moveWithCells="1" sizeWithCells="1">
              <from>
                <xdr:col>2</xdr:col>
                <xdr:colOff>114300</xdr:colOff>
                <xdr:row>1</xdr:row>
                <xdr:rowOff>85725</xdr:rowOff>
              </from>
              <to>
                <xdr:col>2</xdr:col>
                <xdr:colOff>1562100</xdr:colOff>
                <xdr:row>2</xdr:row>
                <xdr:rowOff>161925</xdr:rowOff>
              </to>
            </anchor>
          </controlPr>
        </control>
      </mc:Choice>
      <mc:Fallback>
        <control shapeId="1033" r:id="rId20" name="Label1"/>
      </mc:Fallback>
    </mc:AlternateContent>
    <mc:AlternateContent xmlns:mc="http://schemas.openxmlformats.org/markup-compatibility/2006">
      <mc:Choice Requires="x14">
        <control shapeId="1034" r:id="rId22" name="Label2">
          <controlPr defaultSize="0" autoLine="0" r:id="rId23">
            <anchor moveWithCells="1" sizeWithCells="1">
              <from>
                <xdr:col>2</xdr:col>
                <xdr:colOff>114300</xdr:colOff>
                <xdr:row>3</xdr:row>
                <xdr:rowOff>9525</xdr:rowOff>
              </from>
              <to>
                <xdr:col>2</xdr:col>
                <xdr:colOff>1562100</xdr:colOff>
                <xdr:row>4</xdr:row>
                <xdr:rowOff>95250</xdr:rowOff>
              </to>
            </anchor>
          </controlPr>
        </control>
      </mc:Choice>
      <mc:Fallback>
        <control shapeId="1034" r:id="rId22" name="Label2"/>
      </mc:Fallback>
    </mc:AlternateContent>
    <mc:AlternateContent xmlns:mc="http://schemas.openxmlformats.org/markup-compatibility/2006">
      <mc:Choice Requires="x14">
        <control shapeId="1035" r:id="rId24" name="Label3">
          <controlPr defaultSize="0" autoLine="0" r:id="rId25">
            <anchor moveWithCells="1" sizeWithCells="1">
              <from>
                <xdr:col>2</xdr:col>
                <xdr:colOff>114300</xdr:colOff>
                <xdr:row>4</xdr:row>
                <xdr:rowOff>161925</xdr:rowOff>
              </from>
              <to>
                <xdr:col>2</xdr:col>
                <xdr:colOff>1562100</xdr:colOff>
                <xdr:row>6</xdr:row>
                <xdr:rowOff>38100</xdr:rowOff>
              </to>
            </anchor>
          </controlPr>
        </control>
      </mc:Choice>
      <mc:Fallback>
        <control shapeId="1035" r:id="rId24" name="Label3"/>
      </mc:Fallback>
    </mc:AlternateContent>
    <mc:AlternateContent xmlns:mc="http://schemas.openxmlformats.org/markup-compatibility/2006">
      <mc:Choice Requires="x14">
        <control shapeId="1036" r:id="rId26" name="Label4">
          <controlPr defaultSize="0" autoLine="0" r:id="rId27">
            <anchor moveWithCells="1" sizeWithCells="1">
              <from>
                <xdr:col>2</xdr:col>
                <xdr:colOff>85725</xdr:colOff>
                <xdr:row>6</xdr:row>
                <xdr:rowOff>114300</xdr:rowOff>
              </from>
              <to>
                <xdr:col>2</xdr:col>
                <xdr:colOff>1543050</xdr:colOff>
                <xdr:row>7</xdr:row>
                <xdr:rowOff>200025</xdr:rowOff>
              </to>
            </anchor>
          </controlPr>
        </control>
      </mc:Choice>
      <mc:Fallback>
        <control shapeId="1036" r:id="rId26" name="Label4"/>
      </mc:Fallback>
    </mc:AlternateContent>
    <mc:AlternateContent xmlns:mc="http://schemas.openxmlformats.org/markup-compatibility/2006">
      <mc:Choice Requires="x14">
        <control shapeId="1037" r:id="rId28" name="Label5">
          <controlPr defaultSize="0" autoLine="0" r:id="rId29">
            <anchor moveWithCells="1" sizeWithCells="1">
              <from>
                <xdr:col>2</xdr:col>
                <xdr:colOff>85725</xdr:colOff>
                <xdr:row>8</xdr:row>
                <xdr:rowOff>114300</xdr:rowOff>
              </from>
              <to>
                <xdr:col>2</xdr:col>
                <xdr:colOff>1543050</xdr:colOff>
                <xdr:row>9</xdr:row>
                <xdr:rowOff>190500</xdr:rowOff>
              </to>
            </anchor>
          </controlPr>
        </control>
      </mc:Choice>
      <mc:Fallback>
        <control shapeId="1037" r:id="rId28" name="Label5"/>
      </mc:Fallback>
    </mc:AlternateContent>
    <mc:AlternateContent xmlns:mc="http://schemas.openxmlformats.org/markup-compatibility/2006">
      <mc:Choice Requires="x14">
        <control shapeId="1038" r:id="rId30" name="Label6">
          <controlPr defaultSize="0" autoLine="0" r:id="rId31">
            <anchor moveWithCells="1" sizeWithCells="1">
              <from>
                <xdr:col>2</xdr:col>
                <xdr:colOff>114300</xdr:colOff>
                <xdr:row>0</xdr:row>
                <xdr:rowOff>9525</xdr:rowOff>
              </from>
              <to>
                <xdr:col>2</xdr:col>
                <xdr:colOff>1562100</xdr:colOff>
                <xdr:row>1</xdr:row>
                <xdr:rowOff>9525</xdr:rowOff>
              </to>
            </anchor>
          </controlPr>
        </control>
      </mc:Choice>
      <mc:Fallback>
        <control shapeId="1038" r:id="rId30" name="Label6"/>
      </mc:Fallback>
    </mc:AlternateContent>
    <mc:AlternateContent xmlns:mc="http://schemas.openxmlformats.org/markup-compatibility/2006">
      <mc:Choice Requires="x14">
        <control shapeId="1039" r:id="rId32" name="CommandButton1">
          <controlPr defaultSize="0" autoLine="0" r:id="rId33">
            <anchor moveWithCells="1" sizeWithCells="1">
              <from>
                <xdr:col>3</xdr:col>
                <xdr:colOff>2543175</xdr:colOff>
                <xdr:row>10</xdr:row>
                <xdr:rowOff>57150</xdr:rowOff>
              </from>
              <to>
                <xdr:col>5</xdr:col>
                <xdr:colOff>209550</xdr:colOff>
                <xdr:row>12</xdr:row>
                <xdr:rowOff>19050</xdr:rowOff>
              </to>
            </anchor>
          </controlPr>
        </control>
      </mc:Choice>
      <mc:Fallback>
        <control shapeId="1039" r:id="rId32" name="CommandButton1"/>
      </mc:Fallback>
    </mc:AlternateContent>
  </controls>
  <extLst>
    <ext xmlns:x14="http://schemas.microsoft.com/office/spreadsheetml/2009/9/main" uri="{CCE6A557-97BC-4b89-ADB6-D9C93CAAB3DF}">
      <x14:dataValidations xmlns:xm="http://schemas.microsoft.com/office/excel/2006/main" count="22">
        <x14:dataValidation type="list" allowBlank="1" showInputMessage="1" showErrorMessage="1">
          <x14:formula1>
            <xm:f>'Data Tables'!$AY$2:$AY$11</xm:f>
          </x14:formula1>
          <xm:sqref>B10</xm:sqref>
        </x14:dataValidation>
        <x14:dataValidation type="list" errorStyle="warning" allowBlank="1" showInputMessage="1" showErrorMessage="1" errorTitle="BEL Input Sheet" error="Not in List, Contact Administrator">
          <x14:formula1>
            <xm:f>'Data Tables'!$AQ$2:$AQ$3</xm:f>
          </x14:formula1>
          <xm:sqref>B5</xm:sqref>
        </x14:dataValidation>
        <x14:dataValidation type="list" allowBlank="1" showInputMessage="1" showErrorMessage="1">
          <x14:formula1>
            <xm:f>'Data Tables'!$AO$2:$AO$3</xm:f>
          </x14:formula1>
          <xm:sqref>B2</xm:sqref>
        </x14:dataValidation>
        <x14:dataValidation type="list" allowBlank="1" showInputMessage="1" showErrorMessage="1">
          <x14:formula1>
            <xm:f>'Data Tables'!$AJ$2:$AJ$420</xm:f>
          </x14:formula1>
          <xm:sqref>B11</xm:sqref>
        </x14:dataValidation>
        <x14:dataValidation type="list" allowBlank="1" showInputMessage="1" showErrorMessage="1">
          <x14:formula1>
            <xm:f>'Data Tables'!$AS$2:$AS$14</xm:f>
          </x14:formula1>
          <xm:sqref>B6</xm:sqref>
        </x14:dataValidation>
        <x14:dataValidation type="list" allowBlank="1" showInputMessage="1" showErrorMessage="1">
          <x14:formula1>
            <xm:f>'Data Tables'!$AW$2:$AW$37</xm:f>
          </x14:formula1>
          <xm:sqref>B9</xm:sqref>
        </x14:dataValidation>
        <x14:dataValidation type="list" allowBlank="1" showInputMessage="1" showErrorMessage="1">
          <x14:formula1>
            <xm:f>'Data Tables'!$AU$2:$AU$101</xm:f>
          </x14:formula1>
          <xm:sqref>B7</xm:sqref>
        </x14:dataValidation>
        <x14:dataValidation type="list" allowBlank="1" showInputMessage="1" showErrorMessage="1">
          <x14:formula1>
            <xm:f>'Data Tables'!$BY$2:$BY$4</xm:f>
          </x14:formula1>
          <xm:sqref>P14:P43 P113:P1048576</xm:sqref>
        </x14:dataValidation>
        <x14:dataValidation type="list" allowBlank="1" showInputMessage="1" showErrorMessage="1">
          <x14:formula1>
            <xm:f>'[5]Data Tables'!#REF!</xm:f>
          </x14:formula1>
          <xm:sqref>P44:P53</xm:sqref>
        </x14:dataValidation>
        <x14:dataValidation type="list" operator="lessThanOrEqual" allowBlank="1" showInputMessage="1" showErrorMessage="1" errorTitle="Input Sheet Validation" error="Please use maximum 50 Characters and 10 Characters with  RM Refferance. ">
          <x14:formula1>
            <xm:f>'Data Tables'!$BE$2:$BE$3</xm:f>
          </x14:formula1>
          <xm:sqref>E14:E33</xm:sqref>
        </x14:dataValidation>
        <x14:dataValidation type="list" allowBlank="1" showInputMessage="1" showErrorMessage="1">
          <x14:formula1>
            <xm:f>'Data Tables'!$BG$2:$BG$42</xm:f>
          </x14:formula1>
          <xm:sqref>Q14:R33</xm:sqref>
        </x14:dataValidation>
        <x14:dataValidation type="list" allowBlank="1" showInputMessage="1" showErrorMessage="1">
          <x14:formula1>
            <xm:f>'Data Tables'!$BK$2:$BK$21</xm:f>
          </x14:formula1>
          <xm:sqref>AD14:AD33</xm:sqref>
        </x14:dataValidation>
        <x14:dataValidation type="list" allowBlank="1" showInputMessage="1" showErrorMessage="1">
          <x14:formula1>
            <xm:f>'Data Tables'!$BM$2:$BM$21</xm:f>
          </x14:formula1>
          <xm:sqref>AE14:AE33</xm:sqref>
        </x14:dataValidation>
        <x14:dataValidation type="list" allowBlank="1" showInputMessage="1" showErrorMessage="1">
          <x14:formula1>
            <xm:f>'Data Tables'!$BI$2:$BI$198</xm:f>
          </x14:formula1>
          <xm:sqref>AB14:AB33</xm:sqref>
        </x14:dataValidation>
        <x14:dataValidation type="list" allowBlank="1" showInputMessage="1" showErrorMessage="1">
          <x14:formula1>
            <xm:f>'Data Tables'!$BA$2:$BA$7</xm:f>
          </x14:formula1>
          <xm:sqref>A14:A33</xm:sqref>
        </x14:dataValidation>
        <x14:dataValidation type="list" allowBlank="1" showInputMessage="1" showErrorMessage="1">
          <x14:formula1>
            <xm:f>'Data Tables'!$BO$2:$BO$22</xm:f>
          </x14:formula1>
          <xm:sqref>AF14:AF33</xm:sqref>
        </x14:dataValidation>
        <x14:dataValidation type="list" allowBlank="1" showInputMessage="1" showErrorMessage="1">
          <x14:formula1>
            <xm:f>'Data Tables'!$BC$2:$BC$133</xm:f>
          </x14:formula1>
          <xm:sqref>B14:B33</xm:sqref>
        </x14:dataValidation>
        <x14:dataValidation type="list" operator="lessThanOrEqual" allowBlank="1" showInputMessage="1" showErrorMessage="1" errorTitle="Input Sheet Validation" error="Please use maximum 50 Characters and 10 Characters with  RM Refferance. ">
          <x14:formula1>
            <xm:f>'[6]Data Tables'!#REF!</xm:f>
          </x14:formula1>
          <xm:sqref>E55:E78 E81:E112</xm:sqref>
        </x14:dataValidation>
        <x14:dataValidation type="list" allowBlank="1" showInputMessage="1" showErrorMessage="1">
          <x14:formula1>
            <xm:f>'[6]Data Tables'!#REF!</xm:f>
          </x14:formula1>
          <xm:sqref>A55:B78 AD110 AE55:AE112 Q75:R112 AB55:AB112 A81:B112</xm:sqref>
        </x14:dataValidation>
        <x14:dataValidation type="list" allowBlank="1" showInputMessage="1" showErrorMessage="1">
          <x14:formula1>
            <xm:f>'[7]Data Tables'!#REF!</xm:f>
          </x14:formula1>
          <xm:sqref>P55:P78 P81:P112</xm:sqref>
        </x14:dataValidation>
        <x14:dataValidation type="list" allowBlank="1" showInputMessage="1" showErrorMessage="1">
          <x14:formula1>
            <xm:f>'[8]Data Tables'!#REF!</xm:f>
          </x14:formula1>
          <xm:sqref>A79:B80</xm:sqref>
        </x14:dataValidation>
        <x14:dataValidation type="list" operator="lessThanOrEqual" allowBlank="1" showInputMessage="1" showErrorMessage="1" errorTitle="Input Sheet Validation" error="Please use maximum 50 Characters and 10 Characters with  RM Refferance. ">
          <x14:formula1>
            <xm:f>'[8]Data Tables'!#REF!</xm:f>
          </x14:formula1>
          <xm:sqref>E79:E80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0"/>
  <sheetViews>
    <sheetView showGridLines="0" workbookViewId="0">
      <selection activeCell="B4" sqref="B4"/>
    </sheetView>
  </sheetViews>
  <sheetFormatPr defaultColWidth="17.7109375" defaultRowHeight="11.25" x14ac:dyDescent="0.2"/>
  <cols>
    <col min="1" max="1" width="15.28515625" style="36" bestFit="1" customWidth="1"/>
    <col min="2" max="8" width="12.5703125" style="36" bestFit="1" customWidth="1"/>
    <col min="9" max="16384" width="17.7109375" style="36"/>
  </cols>
  <sheetData>
    <row r="1" spans="1:8" ht="24.75" customHeight="1" x14ac:dyDescent="0.2">
      <c r="A1" s="34" t="s">
        <v>40</v>
      </c>
      <c r="B1" s="35">
        <v>0.7</v>
      </c>
    </row>
    <row r="3" spans="1:8" x14ac:dyDescent="0.2">
      <c r="A3" s="37"/>
      <c r="B3" s="38" t="s">
        <v>41</v>
      </c>
      <c r="C3" s="38" t="s">
        <v>42</v>
      </c>
      <c r="D3" s="38" t="s">
        <v>43</v>
      </c>
      <c r="E3" s="38" t="s">
        <v>44</v>
      </c>
      <c r="F3" s="38" t="s">
        <v>45</v>
      </c>
      <c r="G3" s="38" t="s">
        <v>46</v>
      </c>
    </row>
    <row r="4" spans="1:8" ht="33.75" x14ac:dyDescent="0.2">
      <c r="A4" s="39" t="s">
        <v>47</v>
      </c>
      <c r="B4" s="143">
        <v>2.88</v>
      </c>
      <c r="C4" s="38"/>
      <c r="D4" s="38"/>
      <c r="E4" s="38"/>
      <c r="F4" s="38"/>
      <c r="G4" s="38"/>
    </row>
    <row r="7" spans="1:8" x14ac:dyDescent="0.2">
      <c r="A7" s="40" t="s">
        <v>48</v>
      </c>
      <c r="B7" s="41" t="s">
        <v>49</v>
      </c>
      <c r="C7" s="38" t="s">
        <v>41</v>
      </c>
      <c r="D7" s="38" t="s">
        <v>42</v>
      </c>
      <c r="E7" s="38" t="s">
        <v>43</v>
      </c>
      <c r="F7" s="38" t="s">
        <v>44</v>
      </c>
      <c r="G7" s="38" t="s">
        <v>45</v>
      </c>
      <c r="H7" s="38" t="s">
        <v>46</v>
      </c>
    </row>
    <row r="8" spans="1:8" x14ac:dyDescent="0.2">
      <c r="A8" s="38"/>
      <c r="B8" s="38"/>
      <c r="C8" s="42"/>
      <c r="D8" s="42"/>
      <c r="E8" s="42"/>
      <c r="F8" s="42"/>
      <c r="G8" s="42"/>
      <c r="H8" s="42"/>
    </row>
    <row r="9" spans="1:8" x14ac:dyDescent="0.2">
      <c r="A9" s="38"/>
      <c r="B9" s="38"/>
      <c r="C9" s="38"/>
      <c r="D9" s="38"/>
      <c r="E9" s="38"/>
      <c r="F9" s="38"/>
      <c r="G9" s="38"/>
      <c r="H9" s="38"/>
    </row>
    <row r="10" spans="1:8" x14ac:dyDescent="0.2">
      <c r="A10" s="38"/>
      <c r="B10" s="38"/>
      <c r="C10" s="38"/>
      <c r="D10" s="38"/>
      <c r="E10" s="38"/>
      <c r="F10" s="38"/>
      <c r="G10" s="38"/>
      <c r="H10" s="38"/>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'Data Tables'!$BW$2:$BW$3</xm:f>
          </x14:formula1>
          <xm:sqref>B8:B10</xm:sqref>
        </x14:dataValidation>
        <x14:dataValidation type="list" allowBlank="1" showInputMessage="1" showErrorMessage="1">
          <x14:formula1>
            <xm:f>'Data Tables'!$BU$2:$BU$5</xm:f>
          </x14:formula1>
          <xm:sqref>A8:A10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70"/>
  <sheetViews>
    <sheetView zoomScale="80" zoomScaleNormal="80" workbookViewId="0">
      <selection activeCell="B1" sqref="B1"/>
    </sheetView>
  </sheetViews>
  <sheetFormatPr defaultRowHeight="15" x14ac:dyDescent="0.25"/>
  <cols>
    <col min="1" max="1" width="41.28515625" style="68" bestFit="1" customWidth="1"/>
    <col min="2" max="2" width="48.5703125" style="67" customWidth="1"/>
    <col min="3" max="3" width="58" style="68" bestFit="1" customWidth="1"/>
    <col min="4" max="4" width="9.140625" style="68" bestFit="1" customWidth="1"/>
    <col min="5" max="8" width="2.28515625" style="68" bestFit="1" customWidth="1"/>
    <col min="9" max="9" width="8.42578125" style="68" bestFit="1" customWidth="1"/>
    <col min="10" max="10" width="5.5703125" style="68" bestFit="1" customWidth="1"/>
    <col min="11" max="16384" width="9.140625" style="68"/>
  </cols>
  <sheetData>
    <row r="1" spans="1:10" x14ac:dyDescent="0.25">
      <c r="A1" s="66" t="s">
        <v>76</v>
      </c>
    </row>
    <row r="2" spans="1:10" s="72" customFormat="1" ht="15.75" thickBot="1" x14ac:dyDescent="0.3">
      <c r="A2" s="69" t="s">
        <v>77</v>
      </c>
      <c r="B2" s="70" t="s">
        <v>78</v>
      </c>
      <c r="C2" s="71" t="s">
        <v>79</v>
      </c>
    </row>
    <row r="3" spans="1:10" x14ac:dyDescent="0.25">
      <c r="A3" s="153" t="s">
        <v>54</v>
      </c>
      <c r="B3" s="154" t="s">
        <v>80</v>
      </c>
      <c r="C3" s="73">
        <v>1</v>
      </c>
      <c r="D3" s="74">
        <v>2</v>
      </c>
      <c r="E3" s="74">
        <v>3</v>
      </c>
      <c r="F3" s="74">
        <v>4</v>
      </c>
      <c r="G3" s="74">
        <v>5</v>
      </c>
      <c r="H3" s="74">
        <v>6</v>
      </c>
      <c r="I3" s="74">
        <v>7</v>
      </c>
      <c r="J3" s="75">
        <v>8</v>
      </c>
    </row>
    <row r="4" spans="1:10" ht="15.75" thickBot="1" x14ac:dyDescent="0.3">
      <c r="A4" s="153"/>
      <c r="B4" s="154"/>
      <c r="C4" s="76" t="s">
        <v>81</v>
      </c>
      <c r="D4" s="155" t="s">
        <v>82</v>
      </c>
      <c r="E4" s="156"/>
      <c r="F4" s="156"/>
      <c r="G4" s="156"/>
      <c r="H4" s="157"/>
      <c r="I4" s="77" t="s">
        <v>83</v>
      </c>
      <c r="J4" s="78" t="s">
        <v>84</v>
      </c>
    </row>
    <row r="5" spans="1:10" x14ac:dyDescent="0.25">
      <c r="A5" s="79" t="s">
        <v>2</v>
      </c>
      <c r="B5" s="80" t="s">
        <v>85</v>
      </c>
      <c r="C5" s="81" t="s">
        <v>86</v>
      </c>
    </row>
    <row r="6" spans="1:10" x14ac:dyDescent="0.25">
      <c r="A6" s="79" t="s">
        <v>3</v>
      </c>
      <c r="B6" s="80" t="s">
        <v>87</v>
      </c>
      <c r="C6" s="79" t="s">
        <v>88</v>
      </c>
    </row>
    <row r="7" spans="1:10" ht="60" x14ac:dyDescent="0.25">
      <c r="A7" s="79" t="s">
        <v>5</v>
      </c>
      <c r="B7" s="80" t="s">
        <v>89</v>
      </c>
      <c r="C7" s="82" t="s">
        <v>90</v>
      </c>
    </row>
    <row r="8" spans="1:10" x14ac:dyDescent="0.25">
      <c r="A8" s="79" t="s">
        <v>6</v>
      </c>
      <c r="B8" s="80" t="s">
        <v>89</v>
      </c>
      <c r="C8" s="79" t="s">
        <v>91</v>
      </c>
    </row>
    <row r="9" spans="1:10" ht="30" x14ac:dyDescent="0.25">
      <c r="A9" s="79" t="s">
        <v>7</v>
      </c>
      <c r="B9" s="80" t="s">
        <v>89</v>
      </c>
      <c r="C9" s="82" t="s">
        <v>92</v>
      </c>
    </row>
    <row r="10" spans="1:10" x14ac:dyDescent="0.25">
      <c r="A10" s="79" t="s">
        <v>8</v>
      </c>
      <c r="B10" s="80" t="s">
        <v>93</v>
      </c>
      <c r="C10" s="82" t="s">
        <v>94</v>
      </c>
    </row>
    <row r="11" spans="1:10" x14ac:dyDescent="0.25">
      <c r="A11" s="79" t="s">
        <v>9</v>
      </c>
      <c r="B11" s="80" t="s">
        <v>89</v>
      </c>
      <c r="C11" s="79" t="s">
        <v>95</v>
      </c>
    </row>
    <row r="12" spans="1:10" x14ac:dyDescent="0.25">
      <c r="A12" s="79" t="s">
        <v>10</v>
      </c>
      <c r="B12" s="80" t="s">
        <v>89</v>
      </c>
      <c r="C12" s="79" t="s">
        <v>96</v>
      </c>
    </row>
    <row r="13" spans="1:10" x14ac:dyDescent="0.25">
      <c r="A13" s="79" t="s">
        <v>11</v>
      </c>
      <c r="B13" s="80" t="s">
        <v>89</v>
      </c>
      <c r="C13" s="79" t="s">
        <v>97</v>
      </c>
    </row>
    <row r="14" spans="1:10" x14ac:dyDescent="0.25">
      <c r="A14" s="83"/>
      <c r="B14" s="84"/>
      <c r="C14" s="83"/>
    </row>
    <row r="16" spans="1:10" x14ac:dyDescent="0.25">
      <c r="A16" s="66" t="s">
        <v>98</v>
      </c>
    </row>
    <row r="17" spans="1:3" s="72" customFormat="1" x14ac:dyDescent="0.25">
      <c r="A17" s="69" t="s">
        <v>77</v>
      </c>
      <c r="B17" s="70" t="s">
        <v>78</v>
      </c>
      <c r="C17" s="69" t="s">
        <v>79</v>
      </c>
    </row>
    <row r="18" spans="1:3" x14ac:dyDescent="0.25">
      <c r="A18" s="79" t="s">
        <v>99</v>
      </c>
      <c r="B18" s="80" t="s">
        <v>89</v>
      </c>
      <c r="C18" s="79" t="s">
        <v>100</v>
      </c>
    </row>
    <row r="19" spans="1:3" x14ac:dyDescent="0.25">
      <c r="A19" s="79" t="s">
        <v>13</v>
      </c>
      <c r="B19" s="80" t="s">
        <v>89</v>
      </c>
      <c r="C19" s="79" t="s">
        <v>101</v>
      </c>
    </row>
    <row r="20" spans="1:3" ht="45" x14ac:dyDescent="0.25">
      <c r="A20" s="79" t="s">
        <v>102</v>
      </c>
      <c r="B20" s="85" t="s">
        <v>103</v>
      </c>
      <c r="C20" s="82" t="s">
        <v>104</v>
      </c>
    </row>
    <row r="21" spans="1:3" ht="45" x14ac:dyDescent="0.25">
      <c r="A21" s="79" t="s">
        <v>105</v>
      </c>
      <c r="B21" s="85" t="s">
        <v>103</v>
      </c>
      <c r="C21" s="82" t="s">
        <v>106</v>
      </c>
    </row>
    <row r="22" spans="1:3" ht="30" x14ac:dyDescent="0.25">
      <c r="A22" s="79" t="s">
        <v>17</v>
      </c>
      <c r="B22" s="86" t="s">
        <v>107</v>
      </c>
      <c r="C22" s="82" t="s">
        <v>108</v>
      </c>
    </row>
    <row r="23" spans="1:3" ht="30" x14ac:dyDescent="0.25">
      <c r="A23" s="79" t="s">
        <v>18</v>
      </c>
      <c r="B23" s="85" t="s">
        <v>109</v>
      </c>
      <c r="C23" s="82" t="s">
        <v>108</v>
      </c>
    </row>
    <row r="24" spans="1:3" x14ac:dyDescent="0.25">
      <c r="A24" s="79" t="s">
        <v>19</v>
      </c>
      <c r="B24" s="85" t="s">
        <v>108</v>
      </c>
      <c r="C24" s="79"/>
    </row>
    <row r="25" spans="1:3" ht="45" x14ac:dyDescent="0.25">
      <c r="A25" s="79" t="s">
        <v>20</v>
      </c>
      <c r="B25" s="85" t="s">
        <v>110</v>
      </c>
      <c r="C25" s="79"/>
    </row>
    <row r="26" spans="1:3" x14ac:dyDescent="0.25">
      <c r="A26" s="79" t="s">
        <v>21</v>
      </c>
      <c r="B26" s="85" t="s">
        <v>108</v>
      </c>
      <c r="C26" s="79"/>
    </row>
    <row r="27" spans="1:3" x14ac:dyDescent="0.25">
      <c r="A27" s="79" t="s">
        <v>22</v>
      </c>
      <c r="B27" s="85" t="s">
        <v>108</v>
      </c>
      <c r="C27" s="79"/>
    </row>
    <row r="28" spans="1:3" x14ac:dyDescent="0.25">
      <c r="A28" s="87" t="s">
        <v>111</v>
      </c>
      <c r="B28" s="80" t="s">
        <v>112</v>
      </c>
      <c r="C28" s="79"/>
    </row>
    <row r="29" spans="1:3" x14ac:dyDescent="0.25">
      <c r="A29" s="88" t="s">
        <v>24</v>
      </c>
      <c r="B29" s="80" t="s">
        <v>113</v>
      </c>
      <c r="C29" s="79"/>
    </row>
    <row r="30" spans="1:3" x14ac:dyDescent="0.25">
      <c r="A30" s="79" t="s">
        <v>25</v>
      </c>
      <c r="B30" s="80" t="s">
        <v>89</v>
      </c>
      <c r="C30" s="79" t="s">
        <v>114</v>
      </c>
    </row>
    <row r="31" spans="1:3" x14ac:dyDescent="0.25">
      <c r="A31" s="79" t="s">
        <v>26</v>
      </c>
      <c r="B31" s="80" t="s">
        <v>89</v>
      </c>
      <c r="C31" s="79" t="s">
        <v>115</v>
      </c>
    </row>
    <row r="32" spans="1:3" x14ac:dyDescent="0.25">
      <c r="A32" s="79" t="s">
        <v>27</v>
      </c>
      <c r="B32" s="80" t="s">
        <v>116</v>
      </c>
      <c r="C32" s="79" t="s">
        <v>117</v>
      </c>
    </row>
    <row r="33" spans="1:3" x14ac:dyDescent="0.25">
      <c r="A33" s="89" t="s">
        <v>118</v>
      </c>
      <c r="B33" s="80" t="s">
        <v>119</v>
      </c>
      <c r="C33" s="79"/>
    </row>
    <row r="34" spans="1:3" x14ac:dyDescent="0.25">
      <c r="A34" s="79" t="s">
        <v>28</v>
      </c>
      <c r="B34" s="80" t="s">
        <v>120</v>
      </c>
      <c r="C34" s="79"/>
    </row>
    <row r="35" spans="1:3" x14ac:dyDescent="0.25">
      <c r="A35" s="89" t="s">
        <v>121</v>
      </c>
      <c r="B35" s="80" t="s">
        <v>122</v>
      </c>
      <c r="C35" s="79"/>
    </row>
    <row r="36" spans="1:3" x14ac:dyDescent="0.25">
      <c r="A36" s="89" t="s">
        <v>123</v>
      </c>
      <c r="B36" s="80" t="s">
        <v>122</v>
      </c>
      <c r="C36" s="79"/>
    </row>
    <row r="37" spans="1:3" ht="75" x14ac:dyDescent="0.25">
      <c r="A37" s="79" t="s">
        <v>31</v>
      </c>
      <c r="B37" s="80" t="s">
        <v>124</v>
      </c>
      <c r="C37" s="82" t="s">
        <v>125</v>
      </c>
    </row>
    <row r="38" spans="1:3" ht="60" x14ac:dyDescent="0.25">
      <c r="A38" s="79" t="s">
        <v>32</v>
      </c>
      <c r="B38" s="85" t="s">
        <v>126</v>
      </c>
      <c r="C38" s="79"/>
    </row>
    <row r="39" spans="1:3" ht="30" x14ac:dyDescent="0.25">
      <c r="A39" s="79" t="s">
        <v>33</v>
      </c>
      <c r="B39" s="80" t="s">
        <v>127</v>
      </c>
      <c r="C39" s="82" t="s">
        <v>128</v>
      </c>
    </row>
    <row r="40" spans="1:3" ht="30" x14ac:dyDescent="0.25">
      <c r="A40" s="88" t="s">
        <v>34</v>
      </c>
      <c r="B40" s="85" t="s">
        <v>129</v>
      </c>
      <c r="C40" s="79"/>
    </row>
    <row r="41" spans="1:3" x14ac:dyDescent="0.25">
      <c r="A41" s="79" t="s">
        <v>35</v>
      </c>
      <c r="B41" s="80" t="s">
        <v>89</v>
      </c>
      <c r="C41" s="79"/>
    </row>
    <row r="42" spans="1:3" ht="30" x14ac:dyDescent="0.25">
      <c r="A42" s="79" t="s">
        <v>36</v>
      </c>
      <c r="B42" s="85" t="s">
        <v>130</v>
      </c>
      <c r="C42" s="79"/>
    </row>
    <row r="43" spans="1:3" x14ac:dyDescent="0.25">
      <c r="A43" s="79" t="s">
        <v>37</v>
      </c>
      <c r="B43" s="80" t="s">
        <v>89</v>
      </c>
      <c r="C43" s="79"/>
    </row>
    <row r="44" spans="1:3" x14ac:dyDescent="0.25">
      <c r="A44" s="79" t="s">
        <v>38</v>
      </c>
      <c r="B44" s="80" t="s">
        <v>89</v>
      </c>
      <c r="C44" s="79"/>
    </row>
    <row r="45" spans="1:3" x14ac:dyDescent="0.25">
      <c r="A45" s="79" t="s">
        <v>39</v>
      </c>
      <c r="B45" s="80" t="s">
        <v>89</v>
      </c>
      <c r="C45" s="79"/>
    </row>
    <row r="48" spans="1:3" x14ac:dyDescent="0.25">
      <c r="A48" s="66" t="s">
        <v>131</v>
      </c>
    </row>
    <row r="49" spans="1:3" s="72" customFormat="1" x14ac:dyDescent="0.25">
      <c r="A49" s="69" t="s">
        <v>77</v>
      </c>
      <c r="B49" s="70" t="s">
        <v>78</v>
      </c>
      <c r="C49" s="69" t="s">
        <v>79</v>
      </c>
    </row>
    <row r="50" spans="1:3" x14ac:dyDescent="0.25">
      <c r="A50" s="79" t="s">
        <v>40</v>
      </c>
      <c r="B50" s="80" t="s">
        <v>113</v>
      </c>
      <c r="C50" s="79"/>
    </row>
    <row r="51" spans="1:3" x14ac:dyDescent="0.25">
      <c r="A51" s="79" t="s">
        <v>132</v>
      </c>
      <c r="B51" s="80" t="s">
        <v>133</v>
      </c>
      <c r="C51" s="79"/>
    </row>
    <row r="52" spans="1:3" x14ac:dyDescent="0.25">
      <c r="A52" s="79" t="s">
        <v>48</v>
      </c>
      <c r="B52" s="80" t="s">
        <v>89</v>
      </c>
      <c r="C52" s="79"/>
    </row>
    <row r="53" spans="1:3" x14ac:dyDescent="0.25">
      <c r="A53" s="79" t="s">
        <v>49</v>
      </c>
      <c r="B53" s="80" t="s">
        <v>89</v>
      </c>
      <c r="C53" s="79"/>
    </row>
    <row r="56" spans="1:3" x14ac:dyDescent="0.25">
      <c r="A56" s="66" t="s">
        <v>134</v>
      </c>
    </row>
    <row r="57" spans="1:3" s="72" customFormat="1" x14ac:dyDescent="0.25">
      <c r="A57" s="69" t="s">
        <v>77</v>
      </c>
      <c r="B57" s="70" t="s">
        <v>78</v>
      </c>
      <c r="C57" s="69" t="s">
        <v>79</v>
      </c>
    </row>
    <row r="58" spans="1:3" x14ac:dyDescent="0.25">
      <c r="A58" s="79" t="s">
        <v>55</v>
      </c>
      <c r="B58" s="80" t="s">
        <v>89</v>
      </c>
      <c r="C58" s="79"/>
    </row>
    <row r="59" spans="1:3" x14ac:dyDescent="0.25">
      <c r="A59" s="79" t="s">
        <v>56</v>
      </c>
      <c r="B59" s="80" t="s">
        <v>135</v>
      </c>
      <c r="C59" s="79"/>
    </row>
    <row r="60" spans="1:3" x14ac:dyDescent="0.25">
      <c r="A60" s="90" t="s">
        <v>57</v>
      </c>
      <c r="B60" s="80" t="s">
        <v>136</v>
      </c>
      <c r="C60" s="79"/>
    </row>
    <row r="61" spans="1:3" x14ac:dyDescent="0.25">
      <c r="A61" s="90" t="s">
        <v>58</v>
      </c>
      <c r="B61" s="80" t="s">
        <v>137</v>
      </c>
      <c r="C61" s="79"/>
    </row>
    <row r="62" spans="1:3" x14ac:dyDescent="0.25">
      <c r="A62" s="79" t="s">
        <v>59</v>
      </c>
      <c r="B62" s="80" t="s">
        <v>138</v>
      </c>
      <c r="C62" s="79" t="s">
        <v>108</v>
      </c>
    </row>
    <row r="63" spans="1:3" ht="30" x14ac:dyDescent="0.25">
      <c r="A63" s="79" t="s">
        <v>60</v>
      </c>
      <c r="B63" s="85" t="s">
        <v>139</v>
      </c>
      <c r="C63" s="82" t="s">
        <v>108</v>
      </c>
    </row>
    <row r="64" spans="1:3" ht="60" x14ac:dyDescent="0.25">
      <c r="A64" s="79" t="s">
        <v>61</v>
      </c>
      <c r="B64" s="85" t="s">
        <v>140</v>
      </c>
      <c r="C64" s="82" t="s">
        <v>141</v>
      </c>
    </row>
    <row r="65" spans="1:3" x14ac:dyDescent="0.25">
      <c r="A65" s="79" t="s">
        <v>62</v>
      </c>
      <c r="B65" s="80" t="s">
        <v>142</v>
      </c>
      <c r="C65" s="82" t="s">
        <v>108</v>
      </c>
    </row>
    <row r="66" spans="1:3" x14ac:dyDescent="0.25">
      <c r="A66" s="79" t="s">
        <v>63</v>
      </c>
      <c r="B66" s="80" t="s">
        <v>89</v>
      </c>
      <c r="C66" s="79"/>
    </row>
    <row r="67" spans="1:3" x14ac:dyDescent="0.25">
      <c r="A67" s="91" t="s">
        <v>143</v>
      </c>
      <c r="B67" s="80" t="s">
        <v>133</v>
      </c>
      <c r="C67" s="79"/>
    </row>
    <row r="68" spans="1:3" x14ac:dyDescent="0.25">
      <c r="A68" s="79" t="s">
        <v>64</v>
      </c>
      <c r="B68" s="80" t="s">
        <v>144</v>
      </c>
      <c r="C68" s="79"/>
    </row>
    <row r="69" spans="1:3" x14ac:dyDescent="0.25">
      <c r="A69" s="79" t="s">
        <v>65</v>
      </c>
      <c r="B69" s="85" t="s">
        <v>145</v>
      </c>
      <c r="C69" s="79"/>
    </row>
    <row r="70" spans="1:3" x14ac:dyDescent="0.25">
      <c r="A70" s="79" t="s">
        <v>66</v>
      </c>
      <c r="B70" s="80" t="s">
        <v>146</v>
      </c>
      <c r="C70" s="79"/>
    </row>
  </sheetData>
  <mergeCells count="3">
    <mergeCell ref="A3:A4"/>
    <mergeCell ref="B3:B4"/>
    <mergeCell ref="D4:H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25</vt:i4>
      </vt:variant>
    </vt:vector>
  </HeadingPairs>
  <TitlesOfParts>
    <vt:vector size="30" baseType="lpstr">
      <vt:lpstr>Data Tables</vt:lpstr>
      <vt:lpstr>CO</vt:lpstr>
      <vt:lpstr>BOM</vt:lpstr>
      <vt:lpstr>OPS TO TRACK</vt:lpstr>
      <vt:lpstr>Guide_Lines </vt:lpstr>
      <vt:lpstr>'Data Tables'!ASE</vt:lpstr>
      <vt:lpstr>'Data Tables'!Buy</vt:lpstr>
      <vt:lpstr>'Data Tables'!Buyer</vt:lpstr>
      <vt:lpstr>'Data Tables'!Buyer_Division</vt:lpstr>
      <vt:lpstr>Fabric_Composition</vt:lpstr>
      <vt:lpstr>'Data Tables'!FabricHierarchy</vt:lpstr>
      <vt:lpstr>'Data Tables'!hand</vt:lpstr>
      <vt:lpstr>'Data Tables'!hend</vt:lpstr>
      <vt:lpstr>'Data Tables'!Hierarchy</vt:lpstr>
      <vt:lpstr>'Data Tables'!HIERARCHY_LEVEL</vt:lpstr>
      <vt:lpstr>Hierarchy1</vt:lpstr>
      <vt:lpstr>'Data Tables'!leadfty</vt:lpstr>
      <vt:lpstr>'Data Tables'!mard</vt:lpstr>
      <vt:lpstr>'Data Tables'!masd</vt:lpstr>
      <vt:lpstr>'Data Tables'!Merchant</vt:lpstr>
      <vt:lpstr>'Data Tables'!mode</vt:lpstr>
      <vt:lpstr>'Data Tables'!PACKING_METHOD</vt:lpstr>
      <vt:lpstr>'Data Tables'!packingmethod</vt:lpstr>
      <vt:lpstr>'Data Tables'!Planner_List</vt:lpstr>
      <vt:lpstr>'Data Tables'!Sourcing_List</vt:lpstr>
      <vt:lpstr>'Data Tables'!uom</vt:lpstr>
      <vt:lpstr>'Data Tables'!UserID</vt:lpstr>
      <vt:lpstr>'Data Tables'!UserName</vt:lpstr>
      <vt:lpstr>'Data Tables'!vsdd</vt:lpstr>
      <vt:lpstr>'Data Tables'!vssd</vt:lpstr>
    </vt:vector>
  </TitlesOfParts>
  <Company>Brandix</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Tharindu Ranasinghe (BEL)</dc:creator>
  <cp:lastModifiedBy>Jeevitha Tharmarajah</cp:lastModifiedBy>
  <dcterms:created xsi:type="dcterms:W3CDTF">2014-10-21T10:52:38Z</dcterms:created>
  <dcterms:modified xsi:type="dcterms:W3CDTF">2016-09-06T15:16:03Z</dcterms:modified>
</cp:coreProperties>
</file>